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e2af016e1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3fc94228e71d463f"/>
    <x:sheet xmlns:r="http://schemas.openxmlformats.org/officeDocument/2006/relationships" name="HANG_MUC" sheetId="2" r:id="Radce944cd8904f0c"/>
    <x:sheet xmlns:r="http://schemas.openxmlformats.org/officeDocument/2006/relationships" name="01_Boi" sheetId="3" r:id="Rf38bd0d0df7544b7"/>
    <x:sheet xmlns:r="http://schemas.openxmlformats.org/officeDocument/2006/relationships" name="02_BongBan" sheetId="4" r:id="R7d9e4cf9fcf34ac5"/>
    <x:sheet xmlns:r="http://schemas.openxmlformats.org/officeDocument/2006/relationships" name="03_BD_Nam_A" sheetId="5" r:id="R1dfe99cbf36f454c"/>
    <x:sheet xmlns:r="http://schemas.openxmlformats.org/officeDocument/2006/relationships" name="04_BD_Nam_B" sheetId="6" r:id="R096cd82ddd0745d3"/>
    <x:sheet xmlns:r="http://schemas.openxmlformats.org/officeDocument/2006/relationships" name="05_BD_Nu" sheetId="7" r:id="R4bcabf6f84454588"/>
    <x:sheet xmlns:r="http://schemas.openxmlformats.org/officeDocument/2006/relationships" name="06_CauLong" sheetId="8" r:id="R87e40eb8fc6346ab"/>
    <x:sheet xmlns:r="http://schemas.openxmlformats.org/officeDocument/2006/relationships" name="07_DienKinh" sheetId="9" r:id="R240829b162e544b2"/>
    <x:sheet xmlns:r="http://schemas.openxmlformats.org/officeDocument/2006/relationships" name="08_KeoCo" sheetId="10" r:id="Ra5018b2cb6a44989"/>
    <x:sheet xmlns:r="http://schemas.openxmlformats.org/officeDocument/2006/relationships" name="09_PB_LanhDao" sheetId="11" r:id="R21a42a8040a04eeb"/>
    <x:sheet xmlns:r="http://schemas.openxmlformats.org/officeDocument/2006/relationships" name="10_Pickleball" sheetId="12" r:id="R14602a1a6a194c00"/>
    <x:sheet xmlns:r="http://schemas.openxmlformats.org/officeDocument/2006/relationships" name="11_Tennis" sheetId="13" r:id="R7247956435c3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63A5F"/>
      <x:name val="Arial"/>
    </x:font>
    <x:font>
      <x:b/>
      <x:sz val="10"/>
      <x:color rgb="FF163A5F"/>
      <x:name val="Arial"/>
    </x:font>
    <x:font>
      <x:b/>
      <x:sz val="10"/>
      <x:color rgb="FF2F75B5"/>
      <x:name val="Arial"/>
    </x:font>
    <x:font>
      <x:b/>
      <x:sz val="10"/>
      <x:color rgb="FFFFFFFF"/>
      <x:name val="Arial"/>
    </x:font>
    <x:font>
      <x:i/>
      <x:sz val="10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63A5F"/>
      </x:patternFill>
    </x:fill>
    <x:fill>
      <x:patternFill patternType="solid">
        <x:fgColor rgb="FFFFF2CC"/>
      </x:patternFill>
    </x:fill>
    <x:fill>
      <x:patternFill patternType="solid">
        <x:fgColor rgb="FFF5F6F7"/>
      </x:patternFill>
    </x:fill>
  </x:fills>
  <x:borders count="5">
    <x:border/>
    <x:border>
      <x:bottom style="thin">
        <x:color rgb="FF2F75B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0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56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ad93296a34753" /><Relationship Type="http://schemas.openxmlformats.org/officeDocument/2006/relationships/theme" Target="/xl/theme/theme1.xml" Id="R4b3dc90a6c534996" /><Relationship Type="http://schemas.openxmlformats.org/officeDocument/2006/relationships/sharedStrings" Target="/xl/sharedStrings.xml" Id="Rd160ab4eaa6e4c66" /><Relationship Type="http://schemas.openxmlformats.org/officeDocument/2006/relationships/worksheet" Target="/xl/worksheets/sheet1.xml" Id="R3fc94228e71d463f" /><Relationship Type="http://schemas.openxmlformats.org/officeDocument/2006/relationships/worksheet" Target="/xl/worksheets/sheet2.xml" Id="Radce944cd8904f0c" /><Relationship Type="http://schemas.openxmlformats.org/officeDocument/2006/relationships/worksheet" Target="/xl/worksheets/sheet3.xml" Id="Rf38bd0d0df7544b7" /><Relationship Type="http://schemas.openxmlformats.org/officeDocument/2006/relationships/worksheet" Target="/xl/worksheets/sheet4.xml" Id="R7d9e4cf9fcf34ac5" /><Relationship Type="http://schemas.openxmlformats.org/officeDocument/2006/relationships/worksheet" Target="/xl/worksheets/sheet5.xml" Id="R1dfe99cbf36f454c" /><Relationship Type="http://schemas.openxmlformats.org/officeDocument/2006/relationships/worksheet" Target="/xl/worksheets/sheet6.xml" Id="R096cd82ddd0745d3" /><Relationship Type="http://schemas.openxmlformats.org/officeDocument/2006/relationships/worksheet" Target="/xl/worksheets/sheet7.xml" Id="R4bcabf6f84454588" /><Relationship Type="http://schemas.openxmlformats.org/officeDocument/2006/relationships/worksheet" Target="/xl/worksheets/sheet8.xml" Id="R87e40eb8fc6346ab" /><Relationship Type="http://schemas.openxmlformats.org/officeDocument/2006/relationships/worksheet" Target="/xl/worksheets/sheet9.xml" Id="R240829b162e544b2" /><Relationship Type="http://schemas.openxmlformats.org/officeDocument/2006/relationships/worksheet" Target="/xl/worksheets/sheet10.xml" Id="Ra5018b2cb6a44989" /><Relationship Type="http://schemas.openxmlformats.org/officeDocument/2006/relationships/worksheet" Target="/xl/worksheets/sheet11.xml" Id="R21a42a8040a04eeb" /><Relationship Type="http://schemas.openxmlformats.org/officeDocument/2006/relationships/worksheet" Target="/xl/worksheets/sheet12.xml" Id="R14602a1a6a194c00" /><Relationship Type="http://schemas.openxmlformats.org/officeDocument/2006/relationships/worksheet" Target="/xl/worksheets/sheet13.xml" Id="R7247956435c3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</x:cols>
  <x:sheetData>
    <x:row r="1">
      <x:c r="A1" s="18"/>
      <x:c r="B1" s="18"/>
      <x:c r="C1" s="18"/>
      <x:c r="D1" s="18"/>
      <x:c r="E1" s="18"/>
      <x:c r="F1" s="18"/>
      <x:c r="G1" s="18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PTSC 2026 - Quản lý 11 môn thi đấu | Dữ liệu 13/09/2026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/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5" t="str">
        <x:v>CÁCH DÙNG NHANH</x:v>
      </x:c>
      <x:c r="B5" s="5" t="str"/>
      <x:c r="C5" s="5" t="str"/>
      <x:c r="D5" s="5" t="str"/>
      <x:c r="E5" s="5" t="str"/>
      <x:c r="F5" s="5" t="str"/>
      <x:c r="G5" s="5" t="str"/>
      <x:c r="H5" s="1"/>
      <x:c r="I5" s="1"/>
      <x:c r="J5" s="1"/>
      <x:c r="K5" s="1"/>
      <x:c r="L5" s="1"/>
      <x:c r="M5" s="1"/>
      <x:c r="N5" s="1"/>
    </x:row>
    <x:row r="6">
      <x:c r="A6" s="6" t="n">
        <x:v>1</x:v>
      </x:c>
      <x:c r="B6" s="7" t="str">
        <x:v>Chọn đúng sheet môn thi đấu ở hàng tab phía dưới.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6" t="n">
        <x:v>2</x:v>
      </x:c>
      <x:c r="B7" s="7" t="str">
        <x:v>Chỉ sửa ô màu vàng. Cột ID, Trạng thái và Kiểm tra tự tính.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6" t="n">
        <x:v>3</x:v>
      </x:c>
      <x:c r="B8" s="7" t="str">
        <x:v>Thêm dòng mới ở cuối bảng; chọn Mã hạng mục, Bảng và STT.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6" t="n">
        <x:v>4</x:v>
      </x:c>
      <x:c r="B9" s="7" t="str">
        <x:v>Không được có hai dòng cùng Mã hạng mục + Bảng + STT.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6" t="n">
        <x:v>5</x:v>
      </x:c>
      <x:c r="B10" s="7" t="str">
        <x:v>Trước khi gửi dữ liệu, lọc cột Kiểm tra và xử lý mọi cảnh báo.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30" customHeight="1">
      <x:c r="A12" s="13" t="str">
        <x:v>MÃ MÔN</x:v>
      </x:c>
      <x:c r="B12" s="13" t="str">
        <x:v>MÔN THI ĐẤU</x:v>
      </x:c>
      <x:c r="C12" s="13" t="str">
        <x:v>SỐ HẠNG MỤC</x:v>
      </x:c>
      <x:c r="D12" s="13" t="str">
        <x:v>SỐ BẢN GHI</x:v>
      </x:c>
      <x:c r="E12" s="13" t="str">
        <x:v>CHỜ XÁC NHẬN</x:v>
      </x:c>
      <x:c r="F12" s="13" t="str">
        <x:v>LỖI NHẬP LIỆU</x:v>
      </x:c>
      <x:c r="G12" s="13" t="str">
        <x:v>SHEET NHẬP LIỆU</x:v>
      </x:c>
      <x:c r="H12" s="1"/>
      <x:c r="I12" s="1"/>
      <x:c r="J12" s="1"/>
      <x:c r="K12" s="1"/>
      <x:c r="L12" s="1"/>
      <x:c r="M12" s="1"/>
      <x:c r="N12" s="1"/>
    </x:row>
    <x:row r="13">
      <x:c r="A13" s="14" t="str">
        <x:v>BOI</x:v>
      </x:c>
      <x:c r="B13" s="14" t="str">
        <x:v>Bơi lội</x:v>
      </x:c>
      <x:c r="C13" s="16" t="n">
        <x:f>COUNTIF(HANG_MUC!$B$6:$B$50,A13)</x:f>
        <x:v>4</x:v>
      </x:c>
      <x:c r="D13" s="16" t="n">
        <x:f>COUNTIF('01_Boi'!$E$8:$E$500,"&lt;&gt;")</x:f>
        <x:v>53</x:v>
      </x:c>
      <x:c r="E13" s="16" t="n">
        <x:f>COUNTIFS(HANG_MUC!$B$6:$B$50,A13,HANG_MUC!$J$6:$J$50,"Chờ xác nhận")</x:f>
        <x:v>0</x:v>
      </x:c>
      <x:c r="F13" s="16" t="n">
        <x:f>COUNTIF('01_Boi'!$N$8:$N$500,"&lt;&gt;OK")-COUNTBLANK('01_Boi'!$N$8:$N$500)</x:f>
        <x:v>0</x:v>
      </x:c>
      <x:c r="G13" s="14" t="str">
        <x:v>01_Boi</x:v>
      </x:c>
      <x:c r="H13" s="1"/>
      <x:c r="I13" s="1"/>
      <x:c r="J13" s="1"/>
      <x:c r="K13" s="1"/>
      <x:c r="L13" s="1"/>
      <x:c r="M13" s="1"/>
      <x:c r="N13" s="1"/>
    </x:row>
    <x:row r="14">
      <x:c r="A14" s="15" t="str">
        <x:v>BB</x:v>
      </x:c>
      <x:c r="B14" s="15" t="str">
        <x:v>Bóng bàn</x:v>
      </x:c>
      <x:c r="C14" s="17" t="n">
        <x:f>COUNTIF(HANG_MUC!$B$6:$B$50,A14)</x:f>
        <x:v>5</x:v>
      </x:c>
      <x:c r="D14" s="17" t="n">
        <x:f>COUNTIF('02_BongBan'!$E$8:$E$500,"&lt;&gt;")</x:f>
        <x:v>38</x:v>
      </x:c>
      <x:c r="E14" s="17" t="n">
        <x:f>COUNTIFS(HANG_MUC!$B$6:$B$50,A14,HANG_MUC!$J$6:$J$50,"Chờ xác nhận")</x:f>
        <x:v>0</x:v>
      </x:c>
      <x:c r="F14" s="17" t="n">
        <x:f>COUNTIF('02_BongBan'!$N$8:$N$500,"&lt;&gt;OK")-COUNTBLANK('02_BongBan'!$N$8:$N$500)</x:f>
        <x:v>0</x:v>
      </x:c>
      <x:c r="G14" s="15" t="str">
        <x:v>02_BongBan</x:v>
      </x:c>
      <x:c r="H14" s="1"/>
      <x:c r="I14" s="1"/>
      <x:c r="J14" s="1"/>
      <x:c r="K14" s="1"/>
      <x:c r="L14" s="1"/>
      <x:c r="M14" s="1"/>
      <x:c r="N14" s="1"/>
    </x:row>
    <x:row r="15">
      <x:c r="A15" s="15" t="str">
        <x:v>BDNA</x:v>
      </x:c>
      <x:c r="B15" s="15" t="str">
        <x:v>Bóng đá nam A</x:v>
      </x:c>
      <x:c r="C15" s="17" t="n">
        <x:f>COUNTIF(HANG_MUC!$B$6:$B$50,A15)</x:f>
        <x:v>1</x:v>
      </x:c>
      <x:c r="D15" s="17" t="n">
        <x:f>COUNTIF('03_BD_Nam_A'!$E$8:$E$500,"&lt;&gt;")</x:f>
        <x:v>6</x:v>
      </x:c>
      <x:c r="E15" s="17" t="n">
        <x:f>COUNTIFS(HANG_MUC!$B$6:$B$50,A15,HANG_MUC!$J$6:$J$50,"Chờ xác nhận")</x:f>
        <x:v>0</x:v>
      </x:c>
      <x:c r="F15" s="17" t="n">
        <x:f>COUNTIF('03_BD_Nam_A'!$N$8:$N$500,"&lt;&gt;OK")-COUNTBLANK('03_BD_Nam_A'!$N$8:$N$500)</x:f>
        <x:v>0</x:v>
      </x:c>
      <x:c r="G15" s="15" t="str">
        <x:v>03_BD_Nam_A</x:v>
      </x:c>
      <x:c r="H15" s="1"/>
      <x:c r="I15" s="1"/>
      <x:c r="J15" s="1"/>
      <x:c r="K15" s="1"/>
      <x:c r="L15" s="1"/>
      <x:c r="M15" s="1"/>
      <x:c r="N15" s="1"/>
    </x:row>
    <x:row r="16">
      <x:c r="A16" s="15" t="str">
        <x:v>BDNB</x:v>
      </x:c>
      <x:c r="B16" s="15" t="str">
        <x:v>Bóng đá nam B</x:v>
      </x:c>
      <x:c r="C16" s="17" t="n">
        <x:f>COUNTIF(HANG_MUC!$B$6:$B$50,A16)</x:f>
        <x:v>1</x:v>
      </x:c>
      <x:c r="D16" s="17" t="n">
        <x:f>COUNTIF('04_BD_Nam_B'!$E$8:$E$500,"&lt;&gt;")</x:f>
        <x:v>7</x:v>
      </x:c>
      <x:c r="E16" s="17" t="n">
        <x:f>COUNTIFS(HANG_MUC!$B$6:$B$50,A16,HANG_MUC!$J$6:$J$50,"Chờ xác nhận")</x:f>
        <x:v>0</x:v>
      </x:c>
      <x:c r="F16" s="17" t="n">
        <x:f>COUNTIF('04_BD_Nam_B'!$N$8:$N$500,"&lt;&gt;OK")-COUNTBLANK('04_BD_Nam_B'!$N$8:$N$500)</x:f>
        <x:v>0</x:v>
      </x:c>
      <x:c r="G16" s="15" t="str">
        <x:v>04_BD_Nam_B</x:v>
      </x:c>
      <x:c r="H16" s="1"/>
      <x:c r="I16" s="1"/>
      <x:c r="J16" s="1"/>
      <x:c r="K16" s="1"/>
      <x:c r="L16" s="1"/>
      <x:c r="M16" s="1"/>
      <x:c r="N16" s="1"/>
    </x:row>
    <x:row r="17">
      <x:c r="A17" s="15" t="str">
        <x:v>BDNU</x:v>
      </x:c>
      <x:c r="B17" s="15" t="str">
        <x:v>Bóng đá nữ</x:v>
      </x:c>
      <x:c r="C17" s="17" t="n">
        <x:f>COUNTIF(HANG_MUC!$B$6:$B$50,A17)</x:f>
        <x:v>1</x:v>
      </x:c>
      <x:c r="D17" s="17" t="n">
        <x:f>COUNTIF('05_BD_Nu'!$E$8:$E$500,"&lt;&gt;")</x:f>
        <x:v>5</x:v>
      </x:c>
      <x:c r="E17" s="17" t="n">
        <x:f>COUNTIFS(HANG_MUC!$B$6:$B$50,A17,HANG_MUC!$J$6:$J$50,"Chờ xác nhận")</x:f>
        <x:v>0</x:v>
      </x:c>
      <x:c r="F17" s="17" t="n">
        <x:f>COUNTIF('05_BD_Nu'!$N$8:$N$500,"&lt;&gt;OK")-COUNTBLANK('05_BD_Nu'!$N$8:$N$500)</x:f>
        <x:v>0</x:v>
      </x:c>
      <x:c r="G17" s="15" t="str">
        <x:v>05_BD_Nu</x:v>
      </x:c>
      <x:c r="H17" s="1"/>
      <x:c r="I17" s="1"/>
      <x:c r="J17" s="1"/>
      <x:c r="K17" s="1"/>
      <x:c r="L17" s="1"/>
      <x:c r="M17" s="1"/>
      <x:c r="N17" s="1"/>
    </x:row>
    <x:row r="18">
      <x:c r="A18" s="15" t="str">
        <x:v>CL</x:v>
      </x:c>
      <x:c r="B18" s="15" t="str">
        <x:v>Cầu lông</x:v>
      </x:c>
      <x:c r="C18" s="17" t="n">
        <x:f>COUNTIF(HANG_MUC!$B$6:$B$50,A18)</x:f>
        <x:v>7</x:v>
      </x:c>
      <x:c r="D18" s="17" t="n">
        <x:f>COUNTIF('06_CauLong'!$E$8:$E$500,"&lt;&gt;")</x:f>
        <x:v>40</x:v>
      </x:c>
      <x:c r="E18" s="17" t="n">
        <x:f>COUNTIFS(HANG_MUC!$B$6:$B$50,A18,HANG_MUC!$J$6:$J$50,"Chờ xác nhận")</x:f>
        <x:v>0</x:v>
      </x:c>
      <x:c r="F18" s="17" t="n">
        <x:f>COUNTIF('06_CauLong'!$N$8:$N$500,"&lt;&gt;OK")-COUNTBLANK('06_CauLong'!$N$8:$N$500)</x:f>
        <x:v>0</x:v>
      </x:c>
      <x:c r="G18" s="15" t="str">
        <x:v>06_CauLong</x:v>
      </x:c>
      <x:c r="H18" s="1"/>
      <x:c r="I18" s="1"/>
      <x:c r="J18" s="1"/>
      <x:c r="K18" s="1"/>
      <x:c r="L18" s="1"/>
      <x:c r="M18" s="1"/>
      <x:c r="N18" s="1"/>
    </x:row>
    <x:row r="19">
      <x:c r="A19" s="15" t="str">
        <x:v>DK</x:v>
      </x:c>
      <x:c r="B19" s="15" t="str">
        <x:v>Điền kinh</x:v>
      </x:c>
      <x:c r="C19" s="17" t="n">
        <x:f>COUNTIF(HANG_MUC!$B$6:$B$50,A19)</x:f>
        <x:v>9</x:v>
      </x:c>
      <x:c r="D19" s="17" t="n">
        <x:f>COUNTIF('07_DienKinh'!$E$8:$E$500,"&lt;&gt;")</x:f>
        <x:v>109</x:v>
      </x:c>
      <x:c r="E19" s="17" t="n">
        <x:f>COUNTIFS(HANG_MUC!$B$6:$B$50,A19,HANG_MUC!$J$6:$J$50,"Chờ xác nhận")</x:f>
        <x:v>0</x:v>
      </x:c>
      <x:c r="F19" s="17" t="n">
        <x:f>COUNTIF('07_DienKinh'!$N$8:$N$500,"&lt;&gt;OK")-COUNTBLANK('07_DienKinh'!$N$8:$N$500)</x:f>
        <x:v>0</x:v>
      </x:c>
      <x:c r="G19" s="15" t="str">
        <x:v>07_DienKinh</x:v>
      </x:c>
      <x:c r="H19" s="1"/>
      <x:c r="I19" s="1"/>
      <x:c r="J19" s="1"/>
      <x:c r="K19" s="1"/>
      <x:c r="L19" s="1"/>
      <x:c r="M19" s="1"/>
      <x:c r="N19" s="1"/>
    </x:row>
    <x:row r="20">
      <x:c r="A20" s="15" t="str">
        <x:v>KC</x:v>
      </x:c>
      <x:c r="B20" s="15" t="str">
        <x:v>Kéo co</x:v>
      </x:c>
      <x:c r="C20" s="17" t="n">
        <x:f>COUNTIF(HANG_MUC!$B$6:$B$50,A20)</x:f>
        <x:v>1</x:v>
      </x:c>
      <x:c r="D20" s="17" t="n">
        <x:f>COUNTIF('08_KeoCo'!$E$8:$E$500,"&lt;&gt;")</x:f>
        <x:v>16</x:v>
      </x:c>
      <x:c r="E20" s="17" t="n">
        <x:f>COUNTIFS(HANG_MUC!$B$6:$B$50,A20,HANG_MUC!$J$6:$J$50,"Chờ xác nhận")</x:f>
        <x:v>0</x:v>
      </x:c>
      <x:c r="F20" s="17" t="n">
        <x:f>COUNTIF('08_KeoCo'!$N$8:$N$500,"&lt;&gt;OK")-COUNTBLANK('08_KeoCo'!$N$8:$N$500)</x:f>
        <x:v>0</x:v>
      </x:c>
      <x:c r="G20" s="15" t="str">
        <x:v>08_KeoCo</x:v>
      </x:c>
      <x:c r="H20" s="1"/>
      <x:c r="I20" s="1"/>
      <x:c r="J20" s="1"/>
      <x:c r="K20" s="1"/>
      <x:c r="L20" s="1"/>
      <x:c r="M20" s="1"/>
      <x:c r="N20" s="1"/>
    </x:row>
    <x:row r="21">
      <x:c r="A21" s="15" t="str">
        <x:v>PBLD</x:v>
      </x:c>
      <x:c r="B21" s="15" t="str">
        <x:v>Pickleball lãnh đạo</x:v>
      </x:c>
      <x:c r="C21" s="17" t="n">
        <x:f>COUNTIF(HANG_MUC!$B$6:$B$50,A21)</x:f>
        <x:v>2</x:v>
      </x:c>
      <x:c r="D21" s="17" t="n">
        <x:f>COUNTIF('09_PB_LanhDao'!$E$8:$E$500,"&lt;&gt;")</x:f>
        <x:v>22</x:v>
      </x:c>
      <x:c r="E21" s="17" t="n">
        <x:f>COUNTIFS(HANG_MUC!$B$6:$B$50,A21,HANG_MUC!$J$6:$J$50,"Chờ xác nhận")</x:f>
        <x:v>0</x:v>
      </x:c>
      <x:c r="F21" s="17" t="n">
        <x:f>COUNTIF('09_PB_LanhDao'!$N$8:$N$500,"&lt;&gt;OK")-COUNTBLANK('09_PB_LanhDao'!$N$8:$N$500)</x:f>
        <x:v>0</x:v>
      </x:c>
      <x:c r="G21" s="15" t="str">
        <x:v>09_PB_LanhDao</x:v>
      </x:c>
      <x:c r="H21" s="1"/>
      <x:c r="I21" s="1"/>
      <x:c r="J21" s="1"/>
      <x:c r="K21" s="1"/>
      <x:c r="L21" s="1"/>
      <x:c r="M21" s="1"/>
      <x:c r="N21" s="1"/>
    </x:row>
    <x:row r="22">
      <x:c r="A22" s="15" t="str">
        <x:v>PB</x:v>
      </x:c>
      <x:c r="B22" s="15" t="str">
        <x:v>Pickleball</x:v>
      </x:c>
      <x:c r="C22" s="17" t="n">
        <x:f>COUNTIF(HANG_MUC!$B$6:$B$50,A22)</x:f>
        <x:v>10</x:v>
      </x:c>
      <x:c r="D22" s="17" t="n">
        <x:f>COUNTIF('10_Pickleball'!$E$8:$E$500,"&lt;&gt;")</x:f>
        <x:v>0</x:v>
      </x:c>
      <x:c r="E22" s="17" t="n">
        <x:f>COUNTIFS(HANG_MUC!$B$6:$B$50,A22,HANG_MUC!$J$6:$J$50,"Chờ xác nhận")</x:f>
        <x:v>0</x:v>
      </x:c>
      <x:c r="F22" s="17" t="n">
        <x:f>COUNTIF('10_Pickleball'!$N$8:$N$500,"&lt;&gt;OK")-COUNTBLANK('10_Pickleball'!$N$8:$N$500)</x:f>
        <x:v>0</x:v>
      </x:c>
      <x:c r="G22" s="15" t="str">
        <x:v>10_Pickleball</x:v>
      </x:c>
      <x:c r="H22" s="1"/>
      <x:c r="I22" s="1"/>
      <x:c r="J22" s="1"/>
      <x:c r="K22" s="1"/>
      <x:c r="L22" s="1"/>
      <x:c r="M22" s="1"/>
      <x:c r="N22" s="1"/>
    </x:row>
    <x:row r="23">
      <x:c r="A23" s="15" t="str">
        <x:v>TEN</x:v>
      </x:c>
      <x:c r="B23" s="15" t="str">
        <x:v>Tennis</x:v>
      </x:c>
      <x:c r="C23" s="17" t="n">
        <x:f>COUNTIF(HANG_MUC!$B$6:$B$50,A23)</x:f>
        <x:v>4</x:v>
      </x:c>
      <x:c r="D23" s="17" t="n">
        <x:f>COUNTIF('11_Tennis'!$E$8:$E$500,"&lt;&gt;")</x:f>
        <x:v>28</x:v>
      </x:c>
      <x:c r="E23" s="17" t="n">
        <x:f>COUNTIFS(HANG_MUC!$B$6:$B$50,A23,HANG_MUC!$J$6:$J$50,"Chờ xác nhận")</x:f>
        <x:v>0</x:v>
      </x:c>
      <x:c r="F23" s="17" t="n">
        <x:f>COUNTIF('11_Tennis'!$N$8:$N$500,"&lt;&gt;OK")-COUNTBLANK('11_Tennis'!$N$8:$N$500)</x:f>
        <x:v>0</x:v>
      </x:c>
      <x:c r="G23" s="15" t="str">
        <x:v>11_Tennis</x:v>
      </x:c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5" t="str">
        <x:v>THAY ĐỔI SO VỚI TEMPLATE TRƯỚC</x:v>
      </x:c>
      <x:c r="B25" s="5" t="str"/>
      <x:c r="C25" s="5" t="str"/>
      <x:c r="D25" s="5" t="str"/>
      <x:c r="E25" s="5" t="str"/>
      <x:c r="F25" s="5" t="str"/>
      <x:c r="G25" s="5" t="str"/>
      <x:c r="H25" s="1"/>
      <x:c r="I25" s="1"/>
      <x:c r="J25" s="1"/>
      <x:c r="K25" s="1"/>
      <x:c r="L25" s="1"/>
      <x:c r="M25" s="1"/>
      <x:c r="N25" s="1"/>
    </x:row>
    <x:row r="26">
      <x:c r="A26" s="6" t="str">
        <x:v>Bóng bàn</x:v>
      </x:c>
      <x:c r="B26" s="7" t="str">
        <x:v>Đơn nam ≤45 bảng A đã đổi 4 VĐV theo PDF mới.</x:v>
      </x:c>
      <x:c r="C26" s="7" t="str"/>
      <x:c r="D26" s="7" t="str"/>
      <x:c r="E26" s="7" t="str"/>
      <x:c r="F26" s="7" t="str"/>
      <x:c r="G26" s="7" t="str"/>
      <x:c r="H26" s="1"/>
      <x:c r="I26" s="1"/>
      <x:c r="J26" s="1"/>
      <x:c r="K26" s="1"/>
      <x:c r="L26" s="1"/>
      <x:c r="M26" s="1"/>
      <x:c r="N26" s="1"/>
    </x:row>
    <x:row r="27">
      <x:c r="A27" s="6" t="str">
        <x:v>Bóng đá nữ</x:v>
      </x:c>
      <x:c r="B27" s="7" t="str">
        <x:v>Lịch mới đã đủ 10 trận vòng tròn; không còn cặp lặp.</x:v>
      </x:c>
      <x:c r="C27" s="7" t="str"/>
      <x:c r="D27" s="7" t="str"/>
      <x:c r="E27" s="7" t="str"/>
      <x:c r="F27" s="7" t="str"/>
      <x:c r="G27" s="7" t="str"/>
      <x:c r="H27" s="1"/>
      <x:c r="I27" s="1"/>
      <x:c r="J27" s="1"/>
      <x:c r="K27" s="1"/>
      <x:c r="L27" s="1"/>
      <x:c r="M27" s="1"/>
      <x:c r="N27" s="1"/>
    </x:row>
    <x:row r="28">
      <x:c r="A28" s="6" t="str">
        <x:v>Cầu lông</x:v>
      </x:c>
      <x:c r="B28" s="7" t="str">
        <x:v>Đơn nữ một bảng thi đấu vòng tròn; Đôi nam ≤45 bảng C tăng lên 4 đôi.</x:v>
      </x:c>
      <x:c r="C28" s="7" t="str"/>
      <x:c r="D28" s="7" t="str"/>
      <x:c r="E28" s="7" t="str"/>
      <x:c r="F28" s="7" t="str"/>
      <x:c r="G28" s="7" t="str"/>
      <x:c r="H28" s="1"/>
      <x:c r="I28" s="1"/>
      <x:c r="J28" s="1"/>
      <x:c r="K28" s="1"/>
      <x:c r="L28" s="1"/>
      <x:c r="M28" s="1"/>
      <x:c r="N28" s="1"/>
    </x:row>
    <x:row r="29">
      <x:c r="A29" s="6" t="str">
        <x:v>Điền kinh</x:v>
      </x:c>
      <x:c r="B29" s="7" t="str">
        <x:v>Hà Thị Thảo Trinh được xếp Nữ ≤45 - 5 km theo xác nhận BTC; PDF ZIP hiện còn ghi ở trang 10 km.</x:v>
      </x:c>
      <x:c r="C29" s="7" t="str"/>
      <x:c r="D29" s="7" t="str"/>
      <x:c r="E29" s="7" t="str"/>
      <x:c r="F29" s="7" t="str"/>
      <x:c r="G29" s="7" t="str"/>
      <x:c r="H29" s="1"/>
      <x:c r="I29" s="1"/>
      <x:c r="J29" s="1"/>
      <x:c r="K29" s="1"/>
      <x:c r="L29" s="1"/>
      <x:c r="M29" s="1"/>
      <x:c r="N29" s="1"/>
    </x:row>
    <x:row r="30">
      <x:c r="A30" s="6" t="str">
        <x:v>Pickleball</x:v>
      </x:c>
      <x:c r="B30" s="7" t="str">
        <x:v>Nhánh mới đã dùng đủ bảng A-H; 46+ được hiểu là từ 46 tuổi trở lên.</x:v>
      </x:c>
      <x:c r="C30" s="7" t="str"/>
      <x:c r="D30" s="7" t="str"/>
      <x:c r="E30" s="7" t="str"/>
      <x:c r="F30" s="7" t="str"/>
      <x:c r="G30" s="7" t="str"/>
      <x:c r="H30" s="1"/>
      <x:c r="I30" s="1"/>
      <x:c r="J30" s="1"/>
      <x:c r="K30" s="1"/>
      <x:c r="L30" s="1"/>
      <x:c r="M30" s="1"/>
      <x:c r="N30" s="1"/>
    </x:row>
    <x:row r="31">
      <x:c r="A31" s="6" t="str">
        <x:v>Tennis</x:v>
      </x:c>
      <x:c r="B31" s="7" t="str">
        <x:v>Trang 6 đã xác nhận là Đôi nam từ 46 tuổi trở lên.</x:v>
      </x:c>
      <x:c r="C31" s="7" t="str"/>
      <x:c r="D31" s="7" t="str"/>
      <x:c r="E31" s="7" t="str"/>
      <x:c r="F31" s="7" t="str"/>
      <x:c r="G31" s="7" t="str"/>
      <x:c r="H31" s="1"/>
      <x:c r="I31" s="1"/>
      <x:c r="J31" s="1"/>
      <x:c r="K31" s="1"/>
      <x:c r="L31" s="1"/>
      <x:c r="M31" s="1"/>
      <x:c r="N31" s="1"/>
    </x:row>
    <x:row r="32">
      <x:c r="A32" s="6" t="str">
        <x:v>Nhập liệu</x:v>
      </x:c>
      <x:c r="B32" s="7" t="str">
        <x:v>Pickleball đã tạo đủ 166 vị trí theo bảng; ô tên để trống vì PDF là bản scan—chỉ cần nhập vào ô vàng.</x:v>
      </x:c>
      <x:c r="C32" s="7" t="str"/>
      <x:c r="D32" s="7" t="str"/>
      <x:c r="E32" s="7" t="str"/>
      <x:c r="F32" s="7" t="str"/>
      <x:c r="G32" s="7" t="str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10" hidden="0" customWidth="1"/>
    <x:col min="3" max="3" width="22" hidden="0" customWidth="1"/>
    <x:col min="4" max="4" width="39" hidden="0" customWidth="1"/>
    <x:col min="5" max="5" width="12" hidden="0" customWidth="1"/>
    <x:col min="6" max="6" width="12" hidden="0" customWidth="1"/>
    <x:col min="7" max="7" width="12" hidden="0" customWidth="1"/>
    <x:col min="8" max="8" width="26" hidden="0" customWidth="1"/>
    <x:col min="9" max="9" width="50" hidden="0" customWidth="1"/>
    <x:col min="10" max="10" width="16" hidden="0" customWidth="1"/>
    <x:col min="11" max="11" width="45" hidden="0" customWidth="1"/>
    <x:col min="12" max="12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Danh mục hạng mục và thể thức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Ô vàng có thể sửa. Không đổi mã hạng mục đã được dùng trong sheet môn.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0" customHeight="1">
      <x:c r="A5" s="13" t="str">
        <x:v>MÃ HẠNG MỤC</x:v>
      </x:c>
      <x:c r="B5" s="13" t="str">
        <x:v>MÃ MÔN</x:v>
      </x:c>
      <x:c r="C5" s="13" t="str">
        <x:v>MÔN</x:v>
      </x:c>
      <x:c r="D5" s="13" t="str">
        <x:v>TÊN HẠNG MỤC</x:v>
      </x:c>
      <x:c r="E5" s="13" t="str">
        <x:v>LOẠI</x:v>
      </x:c>
      <x:c r="F5" s="13" t="str">
        <x:v>CỰ LY</x:v>
      </x:c>
      <x:c r="G5" s="13" t="str">
        <x:v>SỐ BẢNG</x:v>
      </x:c>
      <x:c r="H5" s="13" t="str">
        <x:v>QUY MÔ</x:v>
      </x:c>
      <x:c r="I5" s="13" t="str">
        <x:v>THỂ THỨC / NHÁNH</x:v>
      </x:c>
      <x:c r="J5" s="13" t="str">
        <x:v>TRẠNG THÁI</x:v>
      </x:c>
      <x:c r="K5" s="13" t="str">
        <x:v>GHI CHÚ NGUỒN</x:v>
      </x:c>
      <x:c r="L5" s="13" t="str">
        <x:v>KIỂM TRA</x:v>
      </x:c>
      <x:c r="M5" s="1"/>
      <x:c r="N5" s="1"/>
    </x:row>
    <x:row r="6">
      <x:c r="A6" s="23" t="str">
        <x:v>BOI-NAM45-100</x:v>
      </x:c>
      <x:c r="B6" s="23" t="str">
        <x:v>BOI</x:v>
      </x:c>
      <x:c r="C6" s="23" t="str">
        <x:v>Bơi lội</x:v>
      </x:c>
      <x:c r="D6" s="27" t="str">
        <x:v>Nam từ 45 tuổi trở xuống</x:v>
      </x:c>
      <x:c r="E6" s="27" t="str">
        <x:v>Cá nhân</x:v>
      </x:c>
      <x:c r="F6" s="27" t="str">
        <x:v>100 m</x:v>
      </x:c>
      <x:c r="G6" s="27" t="n">
        <x:v>0</x:v>
      </x:c>
      <x:c r="H6" s="27" t="str">
        <x:v>20 VĐV</x:v>
      </x:c>
      <x:c r="I6" s="27" t="str">
        <x:v>Xếp hạng theo thành tích trực tiếp</x:v>
      </x:c>
      <x:c r="J6" s="27" t="str">
        <x:v>Hoạt động</x:v>
      </x:c>
      <x:c r="K6" s="27" t="str">
        <x:v>PDF trang 1</x:v>
      </x:c>
      <x:c r="L6" s="23" t="str">
        <x:f>IF(A6="","",IF(COUNTIF($A$6:$A$50,A6)&gt;1,"TRÙNG MÃ","OK"))</x:f>
        <x:v>OK</x:v>
      </x:c>
      <x:c r="M6" s="1"/>
      <x:c r="N6" s="1"/>
    </x:row>
    <x:row r="7">
      <x:c r="A7" s="25" t="str">
        <x:v>BOI-NAM46-100</x:v>
      </x:c>
      <x:c r="B7" s="25" t="str">
        <x:v>BOI</x:v>
      </x:c>
      <x:c r="C7" s="25" t="str">
        <x:v>Bơi lội</x:v>
      </x:c>
      <x:c r="D7" s="28" t="str">
        <x:v>Nam từ 46 tuổi trở lên</x:v>
      </x:c>
      <x:c r="E7" s="28" t="str">
        <x:v>Cá nhân</x:v>
      </x:c>
      <x:c r="F7" s="28" t="str">
        <x:v>100 m</x:v>
      </x:c>
      <x:c r="G7" s="28" t="n">
        <x:v>0</x:v>
      </x:c>
      <x:c r="H7" s="28" t="str">
        <x:v>6 VĐV</x:v>
      </x:c>
      <x:c r="I7" s="28" t="str">
        <x:v>Xếp hạng theo thành tích trực tiếp</x:v>
      </x:c>
      <x:c r="J7" s="28" t="str">
        <x:v>Hoạt động</x:v>
      </x:c>
      <x:c r="K7" s="28" t="str">
        <x:v>PDF trang 2</x:v>
      </x:c>
      <x:c r="L7" s="25" t="str">
        <x:f>IF(A7="","",IF(COUNTIF($A$6:$A$50,A7)&gt;1,"TRÙNG MÃ","OK"))</x:f>
        <x:v>OK</x:v>
      </x:c>
      <x:c r="M7" s="1"/>
      <x:c r="N7" s="1"/>
    </x:row>
    <x:row r="8">
      <x:c r="A8" s="25" t="str">
        <x:v>BOI-NU45-50</x:v>
      </x:c>
      <x:c r="B8" s="25" t="str">
        <x:v>BOI</x:v>
      </x:c>
      <x:c r="C8" s="25" t="str">
        <x:v>Bơi lội</x:v>
      </x:c>
      <x:c r="D8" s="28" t="str">
        <x:v>Nữ từ 45 tuổi trở xuống</x:v>
      </x:c>
      <x:c r="E8" s="28" t="str">
        <x:v>Cá nhân</x:v>
      </x:c>
      <x:c r="F8" s="28" t="str">
        <x:v>50 m</x:v>
      </x:c>
      <x:c r="G8" s="28" t="n">
        <x:v>0</x:v>
      </x:c>
      <x:c r="H8" s="28" t="str">
        <x:v>23 VĐV</x:v>
      </x:c>
      <x:c r="I8" s="28" t="str">
        <x:v>Xếp hạng theo thành tích trực tiếp</x:v>
      </x:c>
      <x:c r="J8" s="28" t="str">
        <x:v>Hoạt động</x:v>
      </x:c>
      <x:c r="K8" s="28" t="str">
        <x:v>PDF trang 3</x:v>
      </x:c>
      <x:c r="L8" s="25" t="str">
        <x:f>IF(A8="","",IF(COUNTIF($A$6:$A$50,A8)&gt;1,"TRÙNG MÃ","OK"))</x:f>
        <x:v>OK</x:v>
      </x:c>
      <x:c r="M8" s="1"/>
      <x:c r="N8" s="1"/>
    </x:row>
    <x:row r="9">
      <x:c r="A9" s="25" t="str">
        <x:v>BOI-DONGDOI-NAM-200</x:v>
      </x:c>
      <x:c r="B9" s="25" t="str">
        <x:v>BOI</x:v>
      </x:c>
      <x:c r="C9" s="25" t="str">
        <x:v>Bơi lội</x:v>
      </x:c>
      <x:c r="D9" s="28" t="str">
        <x:v>Đồng đội nam</x:v>
      </x:c>
      <x:c r="E9" s="28" t="str">
        <x:v>Đội</x:v>
      </x:c>
      <x:c r="F9" s="28" t="str">
        <x:v>200 m</x:v>
      </x:c>
      <x:c r="G9" s="28" t="n">
        <x:v>0</x:v>
      </x:c>
      <x:c r="H9" s="28" t="str">
        <x:v>4 đội; 16 chính thức + 3 dự bị</x:v>
      </x:c>
      <x:c r="I9" s="28" t="str">
        <x:v>Xếp hạng theo thành tích trực tiếp</x:v>
      </x:c>
      <x:c r="J9" s="28" t="str">
        <x:v>Hoạt động</x:v>
      </x:c>
      <x:c r="K9" s="28" t="str">
        <x:v>PDF trang 4; không còn hạng mục đồng đội nữ</x:v>
      </x:c>
      <x:c r="L9" s="25" t="str">
        <x:f>IF(A9="","",IF(COUNTIF($A$6:$A$50,A9)&gt;1,"TRÙNG MÃ","OK"))</x:f>
        <x:v>OK</x:v>
      </x:c>
      <x:c r="M9" s="1"/>
      <x:c r="N9" s="1"/>
    </x:row>
    <x:row r="10">
      <x:c r="A10" s="25" t="str">
        <x:v>BB-DON-NAM45</x:v>
      </x:c>
      <x:c r="B10" s="25" t="str">
        <x:v>BB</x:v>
      </x:c>
      <x:c r="C10" s="25" t="str">
        <x:v>Bóng bàn</x:v>
      </x:c>
      <x:c r="D10" s="28" t="str">
        <x:v>Đơn nam từ 45 tuổi trở xuống</x:v>
      </x:c>
      <x:c r="E10" s="28" t="str">
        <x:v>Cá nhân</x:v>
      </x:c>
      <x:c r="F10" s="28" t="str"/>
      <x:c r="G10" s="28" t="n">
        <x:v>2</x:v>
      </x:c>
      <x:c r="H10" s="28" t="str">
        <x:v>A: 4; B: 3</x:v>
      </x:c>
      <x:c r="I10" s="28" t="str">
        <x:v>BK A1-B2, B1-A2; chung kết</x:v>
      </x:c>
      <x:c r="J10" s="28" t="str">
        <x:v>Hoạt động</x:v>
      </x:c>
      <x:c r="K10" s="28" t="str">
        <x:v>PDF trang 1</x:v>
      </x:c>
      <x:c r="L10" s="25" t="str">
        <x:f>IF(A10="","",IF(COUNTIF($A$6:$A$50,A10)&gt;1,"TRÙNG MÃ","OK"))</x:f>
        <x:v>OK</x:v>
      </x:c>
      <x:c r="M10" s="1"/>
      <x:c r="N10" s="1"/>
    </x:row>
    <x:row r="11">
      <x:c r="A11" s="25" t="str">
        <x:v>BB-DON-NAM46</x:v>
      </x:c>
      <x:c r="B11" s="25" t="str">
        <x:v>BB</x:v>
      </x:c>
      <x:c r="C11" s="25" t="str">
        <x:v>Bóng bàn</x:v>
      </x:c>
      <x:c r="D11" s="28" t="str">
        <x:v>Đơn nam từ 46 tuổi trở lên</x:v>
      </x:c>
      <x:c r="E11" s="28" t="str">
        <x:v>Cá nhân</x:v>
      </x:c>
      <x:c r="F11" s="28" t="str"/>
      <x:c r="G11" s="28" t="n">
        <x:v>2</x:v>
      </x:c>
      <x:c r="H11" s="28" t="str">
        <x:v>A: 4; B: 3</x:v>
      </x:c>
      <x:c r="I11" s="28" t="str">
        <x:v>BK A1-B2, B1-A2; chung kết</x:v>
      </x:c>
      <x:c r="J11" s="28" t="str">
        <x:v>Hoạt động</x:v>
      </x:c>
      <x:c r="K11" s="28" t="str">
        <x:v>PDF trang 2</x:v>
      </x:c>
      <x:c r="L11" s="25" t="str">
        <x:f>IF(A11="","",IF(COUNTIF($A$6:$A$50,A11)&gt;1,"TRÙNG MÃ","OK"))</x:f>
        <x:v>OK</x:v>
      </x:c>
      <x:c r="M11" s="1"/>
      <x:c r="N11" s="1"/>
    </x:row>
    <x:row r="12">
      <x:c r="A12" s="25" t="str">
        <x:v>BB-DON-NU45</x:v>
      </x:c>
      <x:c r="B12" s="25" t="str">
        <x:v>BB</x:v>
      </x:c>
      <x:c r="C12" s="25" t="str">
        <x:v>Bóng bàn</x:v>
      </x:c>
      <x:c r="D12" s="28" t="str">
        <x:v>Đơn nữ từ 45 tuổi trở xuống</x:v>
      </x:c>
      <x:c r="E12" s="28" t="str">
        <x:v>Cá nhân</x:v>
      </x:c>
      <x:c r="F12" s="28" t="str"/>
      <x:c r="G12" s="28" t="n">
        <x:v>2</x:v>
      </x:c>
      <x:c r="H12" s="28" t="str">
        <x:v>A: 3; B: 3</x:v>
      </x:c>
      <x:c r="I12" s="28" t="str">
        <x:v>BK A1-B2, B1-A2; chung kết</x:v>
      </x:c>
      <x:c r="J12" s="28" t="str">
        <x:v>Hoạt động</x:v>
      </x:c>
      <x:c r="K12" s="28" t="str">
        <x:v>PDF trang 3</x:v>
      </x:c>
      <x:c r="L12" s="25" t="str">
        <x:f>IF(A12="","",IF(COUNTIF($A$6:$A$50,A12)&gt;1,"TRÙNG MÃ","OK"))</x:f>
        <x:v>OK</x:v>
      </x:c>
      <x:c r="M12" s="1"/>
      <x:c r="N12" s="1"/>
    </x:row>
    <x:row r="13">
      <x:c r="A13" s="25" t="str">
        <x:v>BB-DOI-NAM45</x:v>
      </x:c>
      <x:c r="B13" s="25" t="str">
        <x:v>BB</x:v>
      </x:c>
      <x:c r="C13" s="25" t="str">
        <x:v>Bóng bàn</x:v>
      </x:c>
      <x:c r="D13" s="28" t="str">
        <x:v>Đôi nam từ 45 tuổi trở xuống</x:v>
      </x:c>
      <x:c r="E13" s="28" t="str">
        <x:v>Đôi</x:v>
      </x:c>
      <x:c r="F13" s="28" t="str"/>
      <x:c r="G13" s="28" t="n">
        <x:v>4</x:v>
      </x:c>
      <x:c r="H13" s="28" t="str">
        <x:v>A/B/C/D: 3 đôi/bảng</x:v>
      </x:c>
      <x:c r="I13" s="28" t="str">
        <x:v>TK A1-B2, C1-D2, A2-B1, C2-D1; BK; CK</x:v>
      </x:c>
      <x:c r="J13" s="28" t="str">
        <x:v>Hoạt động</x:v>
      </x:c>
      <x:c r="K13" s="28" t="str">
        <x:v>PDF trang 4-6</x:v>
      </x:c>
      <x:c r="L13" s="25" t="str">
        <x:f>IF(A13="","",IF(COUNTIF($A$6:$A$50,A13)&gt;1,"TRÙNG MÃ","OK"))</x:f>
        <x:v>OK</x:v>
      </x:c>
      <x:c r="M13" s="1"/>
      <x:c r="N13" s="1"/>
    </x:row>
    <x:row r="14">
      <x:c r="A14" s="25" t="str">
        <x:v>BB-DOI-NAMNU45</x:v>
      </x:c>
      <x:c r="B14" s="25" t="str">
        <x:v>BB</x:v>
      </x:c>
      <x:c r="C14" s="25" t="str">
        <x:v>Bóng bàn</x:v>
      </x:c>
      <x:c r="D14" s="28" t="str">
        <x:v>Đôi nam nữ từ 45 tuổi trở xuống</x:v>
      </x:c>
      <x:c r="E14" s="28" t="str">
        <x:v>Đôi</x:v>
      </x:c>
      <x:c r="F14" s="28" t="str"/>
      <x:c r="G14" s="28" t="n">
        <x:v>2</x:v>
      </x:c>
      <x:c r="H14" s="28" t="str">
        <x:v>A: 3; B: 3</x:v>
      </x:c>
      <x:c r="I14" s="28" t="str">
        <x:v>BK A1-B2, B1-A2; chung kết</x:v>
      </x:c>
      <x:c r="J14" s="28" t="str">
        <x:v>Hoạt động</x:v>
      </x:c>
      <x:c r="K14" s="28" t="str">
        <x:v>PDF trang 7</x:v>
      </x:c>
      <x:c r="L14" s="25" t="str">
        <x:f>IF(A14="","",IF(COUNTIF($A$6:$A$50,A14)&gt;1,"TRÙNG MÃ","OK"))</x:f>
        <x:v>OK</x:v>
      </x:c>
      <x:c r="M14" s="1"/>
      <x:c r="N14" s="1"/>
    </x:row>
    <x:row r="15">
      <x:c r="A15" s="25" t="str">
        <x:v>BDNA-DONGDOI</x:v>
      </x:c>
      <x:c r="B15" s="25" t="str">
        <x:v>BDNA</x:v>
      </x:c>
      <x:c r="C15" s="25" t="str">
        <x:v>Bóng đá nam A</x:v>
      </x:c>
      <x:c r="D15" s="28" t="str">
        <x:v>Bóng đá nam A</x:v>
      </x:c>
      <x:c r="E15" s="28" t="str">
        <x:v>Đội</x:v>
      </x:c>
      <x:c r="F15" s="28" t="str"/>
      <x:c r="G15" s="28" t="n">
        <x:v>2</x:v>
      </x:c>
      <x:c r="H15" s="28" t="str">
        <x:v>A: 3; B: 3</x:v>
      </x:c>
      <x:c r="I15" s="28" t="str">
        <x:v>Vòng tròn bảng; BK A1-B2, B1-A2; chung kết</x:v>
      </x:c>
      <x:c r="J15" s="28" t="str">
        <x:v>Hoạt động</x:v>
      </x:c>
      <x:c r="K15" s="28" t="str">
        <x:v>PDF trang 1</x:v>
      </x:c>
      <x:c r="L15" s="25" t="str">
        <x:f>IF(A15="","",IF(COUNTIF($A$6:$A$50,A15)&gt;1,"TRÙNG MÃ","OK"))</x:f>
        <x:v>OK</x:v>
      </x:c>
      <x:c r="M15" s="1"/>
      <x:c r="N15" s="1"/>
    </x:row>
    <x:row r="16">
      <x:c r="A16" s="25" t="str">
        <x:v>BDNB-DONGDOI</x:v>
      </x:c>
      <x:c r="B16" s="25" t="str">
        <x:v>BDNB</x:v>
      </x:c>
      <x:c r="C16" s="25" t="str">
        <x:v>Bóng đá nam B</x:v>
      </x:c>
      <x:c r="D16" s="28" t="str">
        <x:v>Bóng đá nam B</x:v>
      </x:c>
      <x:c r="E16" s="28" t="str">
        <x:v>Đội</x:v>
      </x:c>
      <x:c r="F16" s="28" t="str"/>
      <x:c r="G16" s="28" t="n">
        <x:v>2</x:v>
      </x:c>
      <x:c r="H16" s="28" t="str">
        <x:v>A: 4; B: 3</x:v>
      </x:c>
      <x:c r="I16" s="28" t="str">
        <x:v>Vòng tròn bảng; BK A1-B2, B1-A2; chung kết</x:v>
      </x:c>
      <x:c r="J16" s="28" t="str">
        <x:v>Hoạt động</x:v>
      </x:c>
      <x:c r="K16" s="28" t="str">
        <x:v>PDF trang 1</x:v>
      </x:c>
      <x:c r="L16" s="25" t="str">
        <x:f>IF(A16="","",IF(COUNTIF($A$6:$A$50,A16)&gt;1,"TRÙNG MÃ","OK"))</x:f>
        <x:v>OK</x:v>
      </x:c>
      <x:c r="M16" s="1"/>
      <x:c r="N16" s="1"/>
    </x:row>
    <x:row r="17">
      <x:c r="A17" s="25" t="str">
        <x:v>BDNU-DONGDOI</x:v>
      </x:c>
      <x:c r="B17" s="25" t="str">
        <x:v>BDNU</x:v>
      </x:c>
      <x:c r="C17" s="25" t="str">
        <x:v>Bóng đá nữ</x:v>
      </x:c>
      <x:c r="D17" s="28" t="str">
        <x:v>Bóng đá nữ</x:v>
      </x:c>
      <x:c r="E17" s="28" t="str">
        <x:v>Đội</x:v>
      </x:c>
      <x:c r="F17" s="28" t="str"/>
      <x:c r="G17" s="28" t="n">
        <x:v>1</x:v>
      </x:c>
      <x:c r="H17" s="28" t="str">
        <x:v>A: 5 đội</x:v>
      </x:c>
      <x:c r="I17" s="28" t="str">
        <x:v>Một bảng vòng tròn; xếp hạng trực tiếp</x:v>
      </x:c>
      <x:c r="J17" s="28" t="str">
        <x:v>Hoạt động</x:v>
      </x:c>
      <x:c r="K17" s="28" t="str">
        <x:v>Lịch mới đã đủ 10 trận; ngày 20/9 có A2-A3 và A4-A5; PDF trang 1</x:v>
      </x:c>
      <x:c r="L17" s="25" t="str">
        <x:f>IF(A17="","",IF(COUNTIF($A$6:$A$50,A17)&gt;1,"TRÙNG MÃ","OK"))</x:f>
        <x:v>OK</x:v>
      </x:c>
      <x:c r="M17" s="1"/>
      <x:c r="N17" s="1"/>
    </x:row>
    <x:row r="18">
      <x:c r="A18" s="25" t="str">
        <x:v>CL-DON-NAM45</x:v>
      </x:c>
      <x:c r="B18" s="25" t="str">
        <x:v>CL</x:v>
      </x:c>
      <x:c r="C18" s="25" t="str">
        <x:v>Cầu lông</x:v>
      </x:c>
      <x:c r="D18" s="28" t="str">
        <x:v>Đơn nam từ 45 tuổi trở xuống</x:v>
      </x:c>
      <x:c r="E18" s="28" t="str">
        <x:v>Cá nhân</x:v>
      </x:c>
      <x:c r="F18" s="28" t="str"/>
      <x:c r="G18" s="28" t="n">
        <x:v>2</x:v>
      </x:c>
      <x:c r="H18" s="28" t="str">
        <x:v>A: 4; B: 4</x:v>
      </x:c>
      <x:c r="I18" s="28" t="str">
        <x:v>BK A1-B2, B1-A2; chung kết</x:v>
      </x:c>
      <x:c r="J18" s="28" t="str">
        <x:v>Hoạt động</x:v>
      </x:c>
      <x:c r="K18" s="28" t="str">
        <x:v>PDF trang 1</x:v>
      </x:c>
      <x:c r="L18" s="25" t="str">
        <x:f>IF(A18="","",IF(COUNTIF($A$6:$A$50,A18)&gt;1,"TRÙNG MÃ","OK"))</x:f>
        <x:v>OK</x:v>
      </x:c>
      <x:c r="M18" s="1"/>
      <x:c r="N18" s="1"/>
    </x:row>
    <x:row r="19">
      <x:c r="A19" s="25" t="str">
        <x:v>CL-DON-NAM46</x:v>
      </x:c>
      <x:c r="B19" s="25" t="str">
        <x:v>CL</x:v>
      </x:c>
      <x:c r="C19" s="25" t="str">
        <x:v>Cầu lông</x:v>
      </x:c>
      <x:c r="D19" s="28" t="str">
        <x:v>Đơn nam từ 46 tuổi trở lên</x:v>
      </x:c>
      <x:c r="E19" s="28" t="str">
        <x:v>Cá nhân</x:v>
      </x:c>
      <x:c r="F19" s="28" t="str"/>
      <x:c r="G19" s="28" t="n">
        <x:v>2</x:v>
      </x:c>
      <x:c r="H19" s="28" t="str">
        <x:v>A: 4; B: 3</x:v>
      </x:c>
      <x:c r="I19" s="28" t="str">
        <x:v>BK A1-B2, B1-A2; chung kết</x:v>
      </x:c>
      <x:c r="J19" s="28" t="str">
        <x:v>Hoạt động</x:v>
      </x:c>
      <x:c r="K19" s="28" t="str">
        <x:v>PDF trang 2</x:v>
      </x:c>
      <x:c r="L19" s="25" t="str">
        <x:f>IF(A19="","",IF(COUNTIF($A$6:$A$50,A19)&gt;1,"TRÙNG MÃ","OK"))</x:f>
        <x:v>OK</x:v>
      </x:c>
      <x:c r="M19" s="1"/>
      <x:c r="N19" s="1"/>
    </x:row>
    <x:row r="20">
      <x:c r="A20" s="25" t="str">
        <x:v>CL-DON-NU45</x:v>
      </x:c>
      <x:c r="B20" s="25" t="str">
        <x:v>CL</x:v>
      </x:c>
      <x:c r="C20" s="25" t="str">
        <x:v>Cầu lông</x:v>
      </x:c>
      <x:c r="D20" s="28" t="str">
        <x:v>Đơn nữ từ 45 tuổi trở xuống</x:v>
      </x:c>
      <x:c r="E20" s="28" t="str">
        <x:v>Cá nhân</x:v>
      </x:c>
      <x:c r="F20" s="28" t="str"/>
      <x:c r="G20" s="28" t="n">
        <x:v>1</x:v>
      </x:c>
      <x:c r="H20" s="28" t="str">
        <x:v>A: 4</x:v>
      </x:c>
      <x:c r="I20" s="28" t="str">
        <x:v>Một bảng vòng tròn; xếp hạng trực tiếp</x:v>
      </x:c>
      <x:c r="J20" s="28" t="str">
        <x:v>Hoạt động</x:v>
      </x:c>
      <x:c r="K20" s="28" t="str">
        <x:v>Bản mới ghi rõ THI ĐẤU VÒNG TRÒN; PDF trang 3</x:v>
      </x:c>
      <x:c r="L20" s="25" t="str">
        <x:f>IF(A20="","",IF(COUNTIF($A$6:$A$50,A20)&gt;1,"TRÙNG MÃ","OK"))</x:f>
        <x:v>OK</x:v>
      </x:c>
      <x:c r="M20" s="1"/>
      <x:c r="N20" s="1"/>
    </x:row>
    <x:row r="21">
      <x:c r="A21" s="25" t="str">
        <x:v>CL-DOI-NAM45</x:v>
      </x:c>
      <x:c r="B21" s="25" t="str">
        <x:v>CL</x:v>
      </x:c>
      <x:c r="C21" s="25" t="str">
        <x:v>Cầu lông</x:v>
      </x:c>
      <x:c r="D21" s="28" t="str">
        <x:v>Đôi nam từ 45 tuổi trở xuống</x:v>
      </x:c>
      <x:c r="E21" s="28" t="str">
        <x:v>Đôi</x:v>
      </x:c>
      <x:c r="F21" s="28" t="str"/>
      <x:c r="G21" s="28" t="n">
        <x:v>3</x:v>
      </x:c>
      <x:c r="H21" s="28" t="str">
        <x:v>A: 3; B: 3; C: 4 đôi</x:v>
      </x:c>
      <x:c r="I21" s="28" t="str">
        <x:v>BK: A1-B1; C1-Nhì cao điểm; chung kết</x:v>
      </x:c>
      <x:c r="J21" s="28" t="str">
        <x:v>Hoạt động</x:v>
      </x:c>
      <x:c r="K21" s="28" t="str">
        <x:v>Bảng C đã bổ sung đôi Vũ Tuấn Minh / Lã Minh Hiển; PDF trang 4-5</x:v>
      </x:c>
      <x:c r="L21" s="25" t="str">
        <x:f>IF(A21="","",IF(COUNTIF($A$6:$A$50,A21)&gt;1,"TRÙNG MÃ","OK"))</x:f>
        <x:v>OK</x:v>
      </x:c>
      <x:c r="M21" s="1"/>
      <x:c r="N21" s="1"/>
    </x:row>
    <x:row r="22">
      <x:c r="A22" s="25" t="str">
        <x:v>CL-DOI-NAM46</x:v>
      </x:c>
      <x:c r="B22" s="25" t="str">
        <x:v>CL</x:v>
      </x:c>
      <x:c r="C22" s="25" t="str">
        <x:v>Cầu lông</x:v>
      </x:c>
      <x:c r="D22" s="28" t="str">
        <x:v>Đôi nam từ 46 tuổi trở lên</x:v>
      </x:c>
      <x:c r="E22" s="28" t="str">
        <x:v>Đôi</x:v>
      </x:c>
      <x:c r="F22" s="28" t="str"/>
      <x:c r="G22" s="28" t="n">
        <x:v>1</x:v>
      </x:c>
      <x:c r="H22" s="28" t="str">
        <x:v>A: 3 đôi</x:v>
      </x:c>
      <x:c r="I22" s="28" t="str">
        <x:v>Một bảng vòng tròn</x:v>
      </x:c>
      <x:c r="J22" s="28" t="str">
        <x:v>Hoạt động</x:v>
      </x:c>
      <x:c r="K22" s="28" t="str">
        <x:v>PDF trang 6</x:v>
      </x:c>
      <x:c r="L22" s="25" t="str">
        <x:f>IF(A22="","",IF(COUNTIF($A$6:$A$50,A22)&gt;1,"TRÙNG MÃ","OK"))</x:f>
        <x:v>OK</x:v>
      </x:c>
      <x:c r="M22" s="1"/>
      <x:c r="N22" s="1"/>
    </x:row>
    <x:row r="23">
      <x:c r="A23" s="25" t="str">
        <x:v>CL-DOI-NU45</x:v>
      </x:c>
      <x:c r="B23" s="25" t="str">
        <x:v>CL</x:v>
      </x:c>
      <x:c r="C23" s="25" t="str">
        <x:v>Cầu lông</x:v>
      </x:c>
      <x:c r="D23" s="28" t="str">
        <x:v>Đôi nữ từ 45 tuổi trở xuống</x:v>
      </x:c>
      <x:c r="E23" s="28" t="str">
        <x:v>Đôi</x:v>
      </x:c>
      <x:c r="F23" s="28" t="str"/>
      <x:c r="G23" s="28" t="n">
        <x:v>1</x:v>
      </x:c>
      <x:c r="H23" s="28" t="str">
        <x:v>A: 4 đôi</x:v>
      </x:c>
      <x:c r="I23" s="28" t="str">
        <x:v>Một bảng vòng tròn</x:v>
      </x:c>
      <x:c r="J23" s="28" t="str">
        <x:v>Hoạt động</x:v>
      </x:c>
      <x:c r="K23" s="28" t="str">
        <x:v>PDF trang 7</x:v>
      </x:c>
      <x:c r="L23" s="25" t="str">
        <x:f>IF(A23="","",IF(COUNTIF($A$6:$A$50,A23)&gt;1,"TRÙNG MÃ","OK"))</x:f>
        <x:v>OK</x:v>
      </x:c>
      <x:c r="M23" s="1"/>
      <x:c r="N23" s="1"/>
    </x:row>
    <x:row r="24">
      <x:c r="A24" s="25" t="str">
        <x:v>CL-DOI-NAMNU45</x:v>
      </x:c>
      <x:c r="B24" s="25" t="str">
        <x:v>CL</x:v>
      </x:c>
      <x:c r="C24" s="25" t="str">
        <x:v>Cầu lông</x:v>
      </x:c>
      <x:c r="D24" s="28" t="str">
        <x:v>Đôi nam nữ từ 45 tuổi trở xuống</x:v>
      </x:c>
      <x:c r="E24" s="28" t="str">
        <x:v>Đôi</x:v>
      </x:c>
      <x:c r="F24" s="28" t="str"/>
      <x:c r="G24" s="28" t="n">
        <x:v>1</x:v>
      </x:c>
      <x:c r="H24" s="28" t="str">
        <x:v>A: 4 đôi</x:v>
      </x:c>
      <x:c r="I24" s="28" t="str">
        <x:v>Một bảng vòng tròn</x:v>
      </x:c>
      <x:c r="J24" s="28" t="str">
        <x:v>Hoạt động</x:v>
      </x:c>
      <x:c r="K24" s="28" t="str">
        <x:v>PDF trang 8</x:v>
      </x:c>
      <x:c r="L24" s="25" t="str">
        <x:f>IF(A24="","",IF(COUNTIF($A$6:$A$50,A24)&gt;1,"TRÙNG MÃ","OK"))</x:f>
        <x:v>OK</x:v>
      </x:c>
      <x:c r="M24" s="1"/>
      <x:c r="N24" s="1"/>
    </x:row>
    <x:row r="25">
      <x:c r="A25" s="25" t="str">
        <x:v>DK-NAM45-5K</x:v>
      </x:c>
      <x:c r="B25" s="25" t="str">
        <x:v>DK</x:v>
      </x:c>
      <x:c r="C25" s="25" t="str">
        <x:v>Điền kinh</x:v>
      </x:c>
      <x:c r="D25" s="28" t="str">
        <x:v>Nam từ 45 tuổi trở xuống - 5 km</x:v>
      </x:c>
      <x:c r="E25" s="28" t="str">
        <x:v>Cá nhân</x:v>
      </x:c>
      <x:c r="F25" s="28" t="str">
        <x:v>5 km</x:v>
      </x:c>
      <x:c r="G25" s="28" t="n">
        <x:v>0</x:v>
      </x:c>
      <x:c r="H25" s="28" t="str">
        <x:v>29 VĐV</x:v>
      </x:c>
      <x:c r="I25" s="28" t="str">
        <x:v>Xếp hạng theo thời gian trực tiếp</x:v>
      </x:c>
      <x:c r="J25" s="28" t="str">
        <x:v>Hoạt động</x:v>
      </x:c>
      <x:c r="K25" s="28" t="str">
        <x:v>PDF trang 1</x:v>
      </x:c>
      <x:c r="L25" s="25" t="str">
        <x:f>IF(A25="","",IF(COUNTIF($A$6:$A$50,A25)&gt;1,"TRÙNG MÃ","OK"))</x:f>
        <x:v>OK</x:v>
      </x:c>
      <x:c r="M25" s="1"/>
      <x:c r="N25" s="1"/>
    </x:row>
    <x:row r="26">
      <x:c r="A26" s="25" t="str">
        <x:v>DK-NAM45-10K</x:v>
      </x:c>
      <x:c r="B26" s="25" t="str">
        <x:v>DK</x:v>
      </x:c>
      <x:c r="C26" s="25" t="str">
        <x:v>Điền kinh</x:v>
      </x:c>
      <x:c r="D26" s="28" t="str">
        <x:v>Nam từ 45 tuổi trở xuống - 10 km</x:v>
      </x:c>
      <x:c r="E26" s="28" t="str">
        <x:v>Cá nhân</x:v>
      </x:c>
      <x:c r="F26" s="28" t="str">
        <x:v>10 km</x:v>
      </x:c>
      <x:c r="G26" s="28" t="n">
        <x:v>0</x:v>
      </x:c>
      <x:c r="H26" s="28" t="str">
        <x:v>23 VĐV</x:v>
      </x:c>
      <x:c r="I26" s="28" t="str">
        <x:v>Xếp hạng theo thời gian trực tiếp</x:v>
      </x:c>
      <x:c r="J26" s="28" t="str">
        <x:v>Hoạt động</x:v>
      </x:c>
      <x:c r="K26" s="28" t="str">
        <x:v>PDF trang 2; bản mới đã bỏ dòng Hoàng Hải Đăng bị lặp</x:v>
      </x:c>
      <x:c r="L26" s="25" t="str">
        <x:f>IF(A26="","",IF(COUNTIF($A$6:$A$50,A26)&gt;1,"TRÙNG MÃ","OK"))</x:f>
        <x:v>OK</x:v>
      </x:c>
      <x:c r="M26" s="1"/>
      <x:c r="N26" s="1"/>
    </x:row>
    <x:row r="27">
      <x:c r="A27" s="25" t="str">
        <x:v>DK-NAM45-21K</x:v>
      </x:c>
      <x:c r="B27" s="25" t="str">
        <x:v>DK</x:v>
      </x:c>
      <x:c r="C27" s="25" t="str">
        <x:v>Điền kinh</x:v>
      </x:c>
      <x:c r="D27" s="28" t="str">
        <x:v>Nam từ 45 tuổi trở xuống - 21 km</x:v>
      </x:c>
      <x:c r="E27" s="28" t="str">
        <x:v>Cá nhân</x:v>
      </x:c>
      <x:c r="F27" s="28" t="str">
        <x:v>21 km</x:v>
      </x:c>
      <x:c r="G27" s="28" t="n">
        <x:v>0</x:v>
      </x:c>
      <x:c r="H27" s="28" t="str">
        <x:v>7 VĐV</x:v>
      </x:c>
      <x:c r="I27" s="28" t="str">
        <x:v>Xếp hạng theo thời gian trực tiếp</x:v>
      </x:c>
      <x:c r="J27" s="28" t="str">
        <x:v>Hoạt động</x:v>
      </x:c>
      <x:c r="K27" s="28" t="str">
        <x:v>PDF trang 3</x:v>
      </x:c>
      <x:c r="L27" s="25" t="str">
        <x:f>IF(A27="","",IF(COUNTIF($A$6:$A$50,A27)&gt;1,"TRÙNG MÃ","OK"))</x:f>
        <x:v>OK</x:v>
      </x:c>
      <x:c r="M27" s="1"/>
      <x:c r="N27" s="1"/>
    </x:row>
    <x:row r="28">
      <x:c r="A28" s="25" t="str">
        <x:v>DK-NAM46-5K</x:v>
      </x:c>
      <x:c r="B28" s="25" t="str">
        <x:v>DK</x:v>
      </x:c>
      <x:c r="C28" s="25" t="str">
        <x:v>Điền kinh</x:v>
      </x:c>
      <x:c r="D28" s="28" t="str">
        <x:v>Nam từ 46 tuổi trở lên - 5 km</x:v>
      </x:c>
      <x:c r="E28" s="28" t="str">
        <x:v>Cá nhân</x:v>
      </x:c>
      <x:c r="F28" s="28" t="str">
        <x:v>5 km</x:v>
      </x:c>
      <x:c r="G28" s="28" t="n">
        <x:v>0</x:v>
      </x:c>
      <x:c r="H28" s="28" t="str">
        <x:v>8 VĐV</x:v>
      </x:c>
      <x:c r="I28" s="28" t="str">
        <x:v>Xếp hạng theo thời gian trực tiếp</x:v>
      </x:c>
      <x:c r="J28" s="28" t="str">
        <x:v>Hoạt động</x:v>
      </x:c>
      <x:c r="K28" s="28" t="str">
        <x:v>Đã chuyển Hà Thị Thảo Trinh khỏi hạng mục này</x:v>
      </x:c>
      <x:c r="L28" s="25" t="str">
        <x:f>IF(A28="","",IF(COUNTIF($A$6:$A$50,A28)&gt;1,"TRÙNG MÃ","OK"))</x:f>
        <x:v>OK</x:v>
      </x:c>
      <x:c r="M28" s="1"/>
      <x:c r="N28" s="1"/>
    </x:row>
    <x:row r="29">
      <x:c r="A29" s="25" t="str">
        <x:v>DK-NAM46-10K</x:v>
      </x:c>
      <x:c r="B29" s="25" t="str">
        <x:v>DK</x:v>
      </x:c>
      <x:c r="C29" s="25" t="str">
        <x:v>Điền kinh</x:v>
      </x:c>
      <x:c r="D29" s="28" t="str">
        <x:v>Nam từ 46 tuổi trở lên - 10 km</x:v>
      </x:c>
      <x:c r="E29" s="28" t="str">
        <x:v>Cá nhân</x:v>
      </x:c>
      <x:c r="F29" s="28" t="str">
        <x:v>10 km</x:v>
      </x:c>
      <x:c r="G29" s="28" t="n">
        <x:v>0</x:v>
      </x:c>
      <x:c r="H29" s="28" t="str">
        <x:v>4 VĐV</x:v>
      </x:c>
      <x:c r="I29" s="28" t="str">
        <x:v>Xếp hạng theo thời gian trực tiếp</x:v>
      </x:c>
      <x:c r="J29" s="28" t="str">
        <x:v>Hoạt động</x:v>
      </x:c>
      <x:c r="K29" s="28" t="str">
        <x:v>PDF trang 5</x:v>
      </x:c>
      <x:c r="L29" s="25" t="str">
        <x:f>IF(A29="","",IF(COUNTIF($A$6:$A$50,A29)&gt;1,"TRÙNG MÃ","OK"))</x:f>
        <x:v>OK</x:v>
      </x:c>
      <x:c r="M29" s="1"/>
      <x:c r="N29" s="1"/>
    </x:row>
    <x:row r="30">
      <x:c r="A30" s="25" t="str">
        <x:v>DK-NAM46-21K</x:v>
      </x:c>
      <x:c r="B30" s="25" t="str">
        <x:v>DK</x:v>
      </x:c>
      <x:c r="C30" s="25" t="str">
        <x:v>Điền kinh</x:v>
      </x:c>
      <x:c r="D30" s="28" t="str">
        <x:v>Nam từ 46 tuổi trở lên - 21 km</x:v>
      </x:c>
      <x:c r="E30" s="28" t="str">
        <x:v>Cá nhân</x:v>
      </x:c>
      <x:c r="F30" s="28" t="str">
        <x:v>21 km</x:v>
      </x:c>
      <x:c r="G30" s="28" t="n">
        <x:v>0</x:v>
      </x:c>
      <x:c r="H30" s="28" t="str">
        <x:v>11 VĐV</x:v>
      </x:c>
      <x:c r="I30" s="28" t="str">
        <x:v>Xếp hạng theo thời gian trực tiếp</x:v>
      </x:c>
      <x:c r="J30" s="28" t="str">
        <x:v>Hoạt động</x:v>
      </x:c>
      <x:c r="K30" s="28" t="str">
        <x:v>PDF trang 6</x:v>
      </x:c>
      <x:c r="L30" s="25" t="str">
        <x:f>IF(A30="","",IF(COUNTIF($A$6:$A$50,A30)&gt;1,"TRÙNG MÃ","OK"))</x:f>
        <x:v>OK</x:v>
      </x:c>
      <x:c r="M30" s="1"/>
      <x:c r="N30" s="1"/>
    </x:row>
    <x:row r="31">
      <x:c r="A31" s="25" t="str">
        <x:v>DK-NU45-5K</x:v>
      </x:c>
      <x:c r="B31" s="25" t="str">
        <x:v>DK</x:v>
      </x:c>
      <x:c r="C31" s="25" t="str">
        <x:v>Điền kinh</x:v>
      </x:c>
      <x:c r="D31" s="28" t="str">
        <x:v>Nữ từ 45 tuổi trở xuống - 5 km</x:v>
      </x:c>
      <x:c r="E31" s="28" t="str">
        <x:v>Cá nhân</x:v>
      </x:c>
      <x:c r="F31" s="28" t="str">
        <x:v>5 km</x:v>
      </x:c>
      <x:c r="G31" s="28" t="n">
        <x:v>0</x:v>
      </x:c>
      <x:c r="H31" s="28" t="str">
        <x:v>16 VĐV</x:v>
      </x:c>
      <x:c r="I31" s="28" t="str">
        <x:v>Xếp hạng theo thời gian trực tiếp</x:v>
      </x:c>
      <x:c r="J31" s="28" t="str">
        <x:v>Hoạt động</x:v>
      </x:c>
      <x:c r="K31" s="28" t="str">
        <x:v>Hà Thị Thảo Trinh được xếp 5 km theo xác nhận BTC ngày 13/09/2026; PDF ZIP trang 8 hiện còn hiển thị 10 km</x:v>
      </x:c>
      <x:c r="L31" s="25" t="str">
        <x:f>IF(A31="","",IF(COUNTIF($A$6:$A$50,A31)&gt;1,"TRÙNG MÃ","OK"))</x:f>
        <x:v>OK</x:v>
      </x:c>
      <x:c r="M31" s="1"/>
      <x:c r="N31" s="1"/>
    </x:row>
    <x:row r="32">
      <x:c r="A32" s="25" t="str">
        <x:v>DK-NU45-10K</x:v>
      </x:c>
      <x:c r="B32" s="25" t="str">
        <x:v>DK</x:v>
      </x:c>
      <x:c r="C32" s="25" t="str">
        <x:v>Điền kinh</x:v>
      </x:c>
      <x:c r="D32" s="28" t="str">
        <x:v>Nữ từ 45 tuổi trở xuống - 10 km</x:v>
      </x:c>
      <x:c r="E32" s="28" t="str">
        <x:v>Cá nhân</x:v>
      </x:c>
      <x:c r="F32" s="28" t="str">
        <x:v>10 km</x:v>
      </x:c>
      <x:c r="G32" s="28" t="n">
        <x:v>0</x:v>
      </x:c>
      <x:c r="H32" s="28" t="str">
        <x:v>4 VĐV</x:v>
      </x:c>
      <x:c r="I32" s="28" t="str">
        <x:v>Xếp hạng theo thời gian trực tiếp</x:v>
      </x:c>
      <x:c r="J32" s="28" t="str">
        <x:v>Hoạt động</x:v>
      </x:c>
      <x:c r="K32" s="28" t="str">
        <x:v>PDF trang 8</x:v>
      </x:c>
      <x:c r="L32" s="25" t="str">
        <x:f>IF(A32="","",IF(COUNTIF($A$6:$A$50,A32)&gt;1,"TRÙNG MÃ","OK"))</x:f>
        <x:v>OK</x:v>
      </x:c>
      <x:c r="M32" s="1"/>
      <x:c r="N32" s="1"/>
    </x:row>
    <x:row r="33">
      <x:c r="A33" s="25" t="str">
        <x:v>DK-NU46-10K</x:v>
      </x:c>
      <x:c r="B33" s="25" t="str">
        <x:v>DK</x:v>
      </x:c>
      <x:c r="C33" s="25" t="str">
        <x:v>Điền kinh</x:v>
      </x:c>
      <x:c r="D33" s="28" t="str">
        <x:v>Nữ từ 46 tuổi trở lên - 10 km</x:v>
      </x:c>
      <x:c r="E33" s="28" t="str">
        <x:v>Cá nhân</x:v>
      </x:c>
      <x:c r="F33" s="28" t="str">
        <x:v>10 km</x:v>
      </x:c>
      <x:c r="G33" s="28" t="n">
        <x:v>0</x:v>
      </x:c>
      <x:c r="H33" s="28" t="str">
        <x:v>7 VĐV</x:v>
      </x:c>
      <x:c r="I33" s="28" t="str">
        <x:v>Xếp hạng theo thời gian trực tiếp</x:v>
      </x:c>
      <x:c r="J33" s="28" t="str">
        <x:v>Hoạt động</x:v>
      </x:c>
      <x:c r="K33" s="28" t="str">
        <x:v>PDF trang 9</x:v>
      </x:c>
      <x:c r="L33" s="25" t="str">
        <x:f>IF(A33="","",IF(COUNTIF($A$6:$A$50,A33)&gt;1,"TRÙNG MÃ","OK"))</x:f>
        <x:v>OK</x:v>
      </x:c>
      <x:c r="M33" s="1"/>
      <x:c r="N33" s="1"/>
    </x:row>
    <x:row r="34">
      <x:c r="A34" s="25" t="str">
        <x:v>KC-DONGDOI</x:v>
      </x:c>
      <x:c r="B34" s="25" t="str">
        <x:v>KC</x:v>
      </x:c>
      <x:c r="C34" s="25" t="str">
        <x:v>Kéo co</x:v>
      </x:c>
      <x:c r="D34" s="28" t="str">
        <x:v>Kéo co đồng đội</x:v>
      </x:c>
      <x:c r="E34" s="28" t="str">
        <x:v>Đội</x:v>
      </x:c>
      <x:c r="F34" s="28" t="str"/>
      <x:c r="G34" s="28" t="n">
        <x:v>0</x:v>
      </x:c>
      <x:c r="H34" s="28" t="str">
        <x:v>16 đội</x:v>
      </x:c>
      <x:c r="I34" s="28" t="str">
        <x:v>Loại trực tiếp: vòng 1/8, tứ kết, bán kết, chung kết</x:v>
      </x:c>
      <x:c r="J34" s="28" t="str">
        <x:v>Hoạt động</x:v>
      </x:c>
      <x:c r="K34" s="28" t="str">
        <x:v>PDF trang 1</x:v>
      </x:c>
      <x:c r="L34" s="25" t="str">
        <x:f>IF(A34="","",IF(COUNTIF($A$6:$A$50,A34)&gt;1,"TRÙNG MÃ","OK"))</x:f>
        <x:v>OK</x:v>
      </x:c>
      <x:c r="M34" s="1"/>
      <x:c r="N34" s="1"/>
    </x:row>
    <x:row r="35">
      <x:c r="A35" s="25" t="str">
        <x:v>PBLD-DOI-NAM</x:v>
      </x:c>
      <x:c r="B35" s="25" t="str">
        <x:v>PBLD</x:v>
      </x:c>
      <x:c r="C35" s="25" t="str">
        <x:v>Pickleball lãnh đạo</x:v>
      </x:c>
      <x:c r="D35" s="28" t="str">
        <x:v>Đôi nam lãnh đạo</x:v>
      </x:c>
      <x:c r="E35" s="28" t="str">
        <x:v>Đôi</x:v>
      </x:c>
      <x:c r="F35" s="28" t="str"/>
      <x:c r="G35" s="28" t="n">
        <x:v>4</x:v>
      </x:c>
      <x:c r="H35" s="28" t="str">
        <x:v>A/B/C: 4; D: 5 đôi</x:v>
      </x:c>
      <x:c r="I35" s="28" t="str">
        <x:v>TK A1-B2, C1-D2, A2-B1, C2-D1; BK; CK</x:v>
      </x:c>
      <x:c r="J35" s="28" t="str">
        <x:v>Hoạt động</x:v>
      </x:c>
      <x:c r="K35" s="28" t="str">
        <x:v>PDF trang 1-3</x:v>
      </x:c>
      <x:c r="L35" s="25" t="str">
        <x:f>IF(A35="","",IF(COUNTIF($A$6:$A$50,A35)&gt;1,"TRÙNG MÃ","OK"))</x:f>
        <x:v>OK</x:v>
      </x:c>
      <x:c r="M35" s="1"/>
      <x:c r="N35" s="1"/>
    </x:row>
    <x:row r="36">
      <x:c r="A36" s="25" t="str">
        <x:v>PBLD-DOI-NAMNU</x:v>
      </x:c>
      <x:c r="B36" s="25" t="str">
        <x:v>PBLD</x:v>
      </x:c>
      <x:c r="C36" s="25" t="str">
        <x:v>Pickleball lãnh đạo</x:v>
      </x:c>
      <x:c r="D36" s="28" t="str">
        <x:v>Đôi nam nữ lãnh đạo</x:v>
      </x:c>
      <x:c r="E36" s="28" t="str">
        <x:v>Đôi</x:v>
      </x:c>
      <x:c r="F36" s="28" t="str"/>
      <x:c r="G36" s="28" t="n">
        <x:v>1</x:v>
      </x:c>
      <x:c r="H36" s="28" t="str">
        <x:v>A: 5 đôi</x:v>
      </x:c>
      <x:c r="I36" s="28" t="str">
        <x:v>Một bảng vòng tròn</x:v>
      </x:c>
      <x:c r="J36" s="28" t="str">
        <x:v>Hoạt động</x:v>
      </x:c>
      <x:c r="K36" s="28" t="str">
        <x:v>PDF trang 4</x:v>
      </x:c>
      <x:c r="L36" s="25" t="str">
        <x:f>IF(A36="","",IF(COUNTIF($A$6:$A$50,A36)&gt;1,"TRÙNG MÃ","OK"))</x:f>
        <x:v>OK</x:v>
      </x:c>
      <x:c r="M36" s="1"/>
      <x:c r="N36" s="1"/>
    </x:row>
    <x:row r="37">
      <x:c r="A37" s="25" t="str">
        <x:v>PB-DON-NAM45</x:v>
      </x:c>
      <x:c r="B37" s="25" t="str">
        <x:v>PB</x:v>
      </x:c>
      <x:c r="C37" s="25" t="str">
        <x:v>Pickleball</x:v>
      </x:c>
      <x:c r="D37" s="28" t="str">
        <x:v>Đơn nam từ 45 tuổi trở xuống</x:v>
      </x:c>
      <x:c r="E37" s="28" t="str">
        <x:v>Cá nhân</x:v>
      </x:c>
      <x:c r="F37" s="28" t="str"/>
      <x:c r="G37" s="28" t="n">
        <x:v>8</x:v>
      </x:c>
      <x:c r="H37" s="28" t="str">
        <x:v>A:4; B:3; C:4; D:4; E:3; F:4; G:3; H:3</x:v>
      </x:c>
      <x:c r="I37" s="28" t="str">
        <x:v>Vòng 1/8: A1-B2, C1-D2, E1-F2, G1-H2, B1-A2, D1-C2, F1-E2, H1-G2; sau đó TK, BK, CK</x:v>
      </x:c>
      <x:c r="J37" s="28" t="str">
        <x:v>Hoạt động</x:v>
      </x:c>
      <x:c r="K37" s="28" t="str">
        <x:v>Nhánh mới đã sử dụng đủ bảng A-H; PDF trang 1-5</x:v>
      </x:c>
      <x:c r="L37" s="25" t="str">
        <x:f>IF(A37="","",IF(COUNTIF($A$6:$A$50,A37)&gt;1,"TRÙNG MÃ","OK"))</x:f>
        <x:v>OK</x:v>
      </x:c>
      <x:c r="M37" s="1"/>
      <x:c r="N37" s="1"/>
    </x:row>
    <x:row r="38">
      <x:c r="A38" s="25" t="str">
        <x:v>PB-DON-NAM46</x:v>
      </x:c>
      <x:c r="B38" s="25" t="str">
        <x:v>PB</x:v>
      </x:c>
      <x:c r="C38" s="25" t="str">
        <x:v>Pickleball</x:v>
      </x:c>
      <x:c r="D38" s="28" t="str">
        <x:v>Đơn nam từ 46 tuổi trở lên</x:v>
      </x:c>
      <x:c r="E38" s="28" t="str">
        <x:v>Cá nhân</x:v>
      </x:c>
      <x:c r="F38" s="28" t="str"/>
      <x:c r="G38" s="28" t="n">
        <x:v>4</x:v>
      </x:c>
      <x:c r="H38" s="28" t="str">
        <x:v>A/B/C/D: 3 VĐV</x:v>
      </x:c>
      <x:c r="I38" s="28" t="str">
        <x:v>TK A1-B2, C1-D2, A2-B1, C2-D1; BK; CK</x:v>
      </x:c>
      <x:c r="J38" s="28" t="str">
        <x:v>Hoạt động</x:v>
      </x:c>
      <x:c r="K38" s="28" t="str">
        <x:v>PDF trang 6-8</x:v>
      </x:c>
      <x:c r="L38" s="25" t="str">
        <x:f>IF(A38="","",IF(COUNTIF($A$6:$A$50,A38)&gt;1,"TRÙNG MÃ","OK"))</x:f>
        <x:v>OK</x:v>
      </x:c>
      <x:c r="M38" s="1"/>
      <x:c r="N38" s="1"/>
    </x:row>
    <x:row r="39">
      <x:c r="A39" s="25" t="str">
        <x:v>PB-DON-NU45</x:v>
      </x:c>
      <x:c r="B39" s="25" t="str">
        <x:v>PB</x:v>
      </x:c>
      <x:c r="C39" s="25" t="str">
        <x:v>Pickleball</x:v>
      </x:c>
      <x:c r="D39" s="28" t="str">
        <x:v>Đơn nữ từ 45 tuổi trở xuống</x:v>
      </x:c>
      <x:c r="E39" s="28" t="str">
        <x:v>Cá nhân</x:v>
      </x:c>
      <x:c r="F39" s="28" t="str"/>
      <x:c r="G39" s="28" t="n">
        <x:v>4</x:v>
      </x:c>
      <x:c r="H39" s="28" t="str">
        <x:v>A/B/C/D: 3 VĐV</x:v>
      </x:c>
      <x:c r="I39" s="28" t="str">
        <x:v>TK A1-B2, C1-D2, A2-B1, C2-D1; BK; CK</x:v>
      </x:c>
      <x:c r="J39" s="28" t="str">
        <x:v>Hoạt động</x:v>
      </x:c>
      <x:c r="K39" s="28" t="str">
        <x:v>PDF trang 9-11</x:v>
      </x:c>
      <x:c r="L39" s="25" t="str">
        <x:f>IF(A39="","",IF(COUNTIF($A$6:$A$50,A39)&gt;1,"TRÙNG MÃ","OK"))</x:f>
        <x:v>OK</x:v>
      </x:c>
      <x:c r="M39" s="1"/>
      <x:c r="N39" s="1"/>
    </x:row>
    <x:row r="40">
      <x:c r="A40" s="25" t="str">
        <x:v>PB-DON-NU46</x:v>
      </x:c>
      <x:c r="B40" s="25" t="str">
        <x:v>PB</x:v>
      </x:c>
      <x:c r="C40" s="25" t="str">
        <x:v>Pickleball</x:v>
      </x:c>
      <x:c r="D40" s="28" t="str">
        <x:v>Đơn nữ từ 46 tuổi trở lên</x:v>
      </x:c>
      <x:c r="E40" s="28" t="str">
        <x:v>Cá nhân</x:v>
      </x:c>
      <x:c r="F40" s="28" t="str"/>
      <x:c r="G40" s="28" t="n">
        <x:v>1</x:v>
      </x:c>
      <x:c r="H40" s="28" t="str">
        <x:v>A: 4 VĐV</x:v>
      </x:c>
      <x:c r="I40" s="28" t="str">
        <x:v>Một bảng vòng tròn</x:v>
      </x:c>
      <x:c r="J40" s="28" t="str">
        <x:v>Hoạt động</x:v>
      </x:c>
      <x:c r="K40" s="28" t="str">
        <x:v>Đã chuẩn hóa 'trên 46 tuổi' thành từ 46 tuổi trở lên theo xác nhận BTC; PDF trang 12</x:v>
      </x:c>
      <x:c r="L40" s="25" t="str">
        <x:f>IF(A40="","",IF(COUNTIF($A$6:$A$50,A40)&gt;1,"TRÙNG MÃ","OK"))</x:f>
        <x:v>OK</x:v>
      </x:c>
      <x:c r="M40" s="1"/>
      <x:c r="N40" s="1"/>
    </x:row>
    <x:row r="41">
      <x:c r="A41" s="25" t="str">
        <x:v>PB-DOI-NAM45</x:v>
      </x:c>
      <x:c r="B41" s="25" t="str">
        <x:v>PB</x:v>
      </x:c>
      <x:c r="C41" s="25" t="str">
        <x:v>Pickleball</x:v>
      </x:c>
      <x:c r="D41" s="28" t="str">
        <x:v>Đôi nam từ 45 tuổi trở xuống</x:v>
      </x:c>
      <x:c r="E41" s="28" t="str">
        <x:v>Đôi</x:v>
      </x:c>
      <x:c r="F41" s="28" t="str"/>
      <x:c r="G41" s="28" t="n">
        <x:v>8</x:v>
      </x:c>
      <x:c r="H41" s="28" t="str">
        <x:v>A-G: 4; H: 5 đôi</x:v>
      </x:c>
      <x:c r="I41" s="28" t="str">
        <x:v>Vòng 1/8: A1-B2, C1-D2, E1-F2, G1-H2, B1-A2, D1-C2, F1-E2, H1-G2; sau đó TK, BK, CK</x:v>
      </x:c>
      <x:c r="J41" s="28" t="str">
        <x:v>Hoạt động</x:v>
      </x:c>
      <x:c r="K41" s="28" t="str">
        <x:v>PDF trang 13-17</x:v>
      </x:c>
      <x:c r="L41" s="25" t="str">
        <x:f>IF(A41="","",IF(COUNTIF($A$6:$A$50,A41)&gt;1,"TRÙNG MÃ","OK"))</x:f>
        <x:v>OK</x:v>
      </x:c>
      <x:c r="M41" s="1"/>
      <x:c r="N41" s="1"/>
    </x:row>
    <x:row r="42">
      <x:c r="A42" s="25" t="str">
        <x:v>PB-DOI-NAM46</x:v>
      </x:c>
      <x:c r="B42" s="25" t="str">
        <x:v>PB</x:v>
      </x:c>
      <x:c r="C42" s="25" t="str">
        <x:v>Pickleball</x:v>
      </x:c>
      <x:c r="D42" s="28" t="str">
        <x:v>Đôi nam từ 46 tuổi trở lên</x:v>
      </x:c>
      <x:c r="E42" s="28" t="str">
        <x:v>Đôi</x:v>
      </x:c>
      <x:c r="F42" s="28" t="str"/>
      <x:c r="G42" s="28" t="n">
        <x:v>6</x:v>
      </x:c>
      <x:c r="H42" s="28" t="str">
        <x:v>A-F: 3 đôi</x:v>
      </x:c>
      <x:c r="I42" s="28" t="str">
        <x:v>Lấy 6 nhất bảng + 2 nhì tốt nhất; xếp seed 1-8; TK 1-8, 4-5, 2-7, 6-3; BK; CK</x:v>
      </x:c>
      <x:c r="J42" s="28" t="str">
        <x:v>Hoạt động</x:v>
      </x:c>
      <x:c r="K42" s="28" t="str">
        <x:v>BTC xác nhận TK3 là Seed 2 vs Seed 7; sửa lỗi trùng Seed 7 tại PDF trang 21</x:v>
      </x:c>
      <x:c r="L42" s="25" t="str">
        <x:f>IF(A42="","",IF(COUNTIF($A$6:$A$50,A42)&gt;1,"TRÙNG MÃ","OK"))</x:f>
        <x:v>OK</x:v>
      </x:c>
      <x:c r="M42" s="1"/>
      <x:c r="N42" s="1"/>
    </x:row>
    <x:row r="43">
      <x:c r="A43" s="25" t="str">
        <x:v>PB-DOI-NU45</x:v>
      </x:c>
      <x:c r="B43" s="25" t="str">
        <x:v>PB</x:v>
      </x:c>
      <x:c r="C43" s="25" t="str">
        <x:v>Pickleball</x:v>
      </x:c>
      <x:c r="D43" s="28" t="str">
        <x:v>Đôi nữ từ 45 tuổi trở xuống</x:v>
      </x:c>
      <x:c r="E43" s="28" t="str">
        <x:v>Đôi</x:v>
      </x:c>
      <x:c r="F43" s="28" t="str"/>
      <x:c r="G43" s="28" t="n">
        <x:v>5</x:v>
      </x:c>
      <x:c r="H43" s="28" t="str">
        <x:v>A-E: 3 đôi</x:v>
      </x:c>
      <x:c r="I43" s="28" t="str">
        <x:v>Lấy 5 nhất bảng + 3 nhì tốt nhất; seed 1-8; TK 1-8, 4-5, 2-7, 6-3; BK, CK</x:v>
      </x:c>
      <x:c r="J43" s="28" t="str">
        <x:v>Hoạt động</x:v>
      </x:c>
      <x:c r="K43" s="28" t="str">
        <x:v>PDF trang 22-24</x:v>
      </x:c>
      <x:c r="L43" s="25" t="str">
        <x:f>IF(A43="","",IF(COUNTIF($A$6:$A$50,A43)&gt;1,"TRÙNG MÃ","OK"))</x:f>
        <x:v>OK</x:v>
      </x:c>
      <x:c r="M43" s="1"/>
      <x:c r="N43" s="1"/>
    </x:row>
    <x:row r="44">
      <x:c r="A44" s="25" t="str">
        <x:v>PB-DOI-NU46</x:v>
      </x:c>
      <x:c r="B44" s="25" t="str">
        <x:v>PB</x:v>
      </x:c>
      <x:c r="C44" s="25" t="str">
        <x:v>Pickleball</x:v>
      </x:c>
      <x:c r="D44" s="28" t="str">
        <x:v>Đôi nữ từ 46 tuổi trở lên</x:v>
      </x:c>
      <x:c r="E44" s="28" t="str">
        <x:v>Đôi</x:v>
      </x:c>
      <x:c r="F44" s="28" t="str"/>
      <x:c r="G44" s="28" t="n">
        <x:v>1</x:v>
      </x:c>
      <x:c r="H44" s="28" t="str">
        <x:v>A: 5 đôi</x:v>
      </x:c>
      <x:c r="I44" s="28" t="str">
        <x:v>Một bảng vòng tròn</x:v>
      </x:c>
      <x:c r="J44" s="28" t="str">
        <x:v>Hoạt động</x:v>
      </x:c>
      <x:c r="K44" s="28" t="str">
        <x:v>Hạng mục mới trong bản cập nhật; PDF trang 25</x:v>
      </x:c>
      <x:c r="L44" s="25" t="str">
        <x:f>IF(A44="","",IF(COUNTIF($A$6:$A$50,A44)&gt;1,"TRÙNG MÃ","OK"))</x:f>
        <x:v>OK</x:v>
      </x:c>
      <x:c r="M44" s="1"/>
      <x:c r="N44" s="1"/>
    </x:row>
    <x:row r="45">
      <x:c r="A45" s="25" t="str">
        <x:v>PB-DOI-NAMNU45</x:v>
      </x:c>
      <x:c r="B45" s="25" t="str">
        <x:v>PB</x:v>
      </x:c>
      <x:c r="C45" s="25" t="str">
        <x:v>Pickleball</x:v>
      </x:c>
      <x:c r="D45" s="28" t="str">
        <x:v>Đôi nam nữ từ 45 tuổi trở xuống</x:v>
      </x:c>
      <x:c r="E45" s="28" t="str">
        <x:v>Đôi</x:v>
      </x:c>
      <x:c r="F45" s="28" t="str"/>
      <x:c r="G45" s="28" t="n">
        <x:v>8</x:v>
      </x:c>
      <x:c r="H45" s="28" t="str">
        <x:v>A-F: 3; G-H: 4 đôi</x:v>
      </x:c>
      <x:c r="I45" s="28" t="str">
        <x:v>Vòng 1/8: A1-B2, C1-D2, E1-F2, G1-H2, B1-A2, D1-C2, F1-E2, H1-G2; sau đó TK, BK, CK</x:v>
      </x:c>
      <x:c r="J45" s="28" t="str">
        <x:v>Hoạt động</x:v>
      </x:c>
      <x:c r="K45" s="28" t="str">
        <x:v>PDF trang 26-30</x:v>
      </x:c>
      <x:c r="L45" s="25" t="str">
        <x:f>IF(A45="","",IF(COUNTIF($A$6:$A$50,A45)&gt;1,"TRÙNG MÃ","OK"))</x:f>
        <x:v>OK</x:v>
      </x:c>
      <x:c r="M45" s="1"/>
      <x:c r="N45" s="1"/>
    </x:row>
    <x:row r="46">
      <x:c r="A46" s="25" t="str">
        <x:v>PB-DOI-NAMNU46</x:v>
      </x:c>
      <x:c r="B46" s="25" t="str">
        <x:v>PB</x:v>
      </x:c>
      <x:c r="C46" s="25" t="str">
        <x:v>Pickleball</x:v>
      </x:c>
      <x:c r="D46" s="28" t="str">
        <x:v>Đôi nam nữ từ 46 tuổi trở lên</x:v>
      </x:c>
      <x:c r="E46" s="28" t="str">
        <x:v>Đôi</x:v>
      </x:c>
      <x:c r="F46" s="28" t="str"/>
      <x:c r="G46" s="28" t="n">
        <x:v>4</x:v>
      </x:c>
      <x:c r="H46" s="28" t="str">
        <x:v>A:4; B/C/D:3 đôi</x:v>
      </x:c>
      <x:c r="I46" s="28" t="str">
        <x:v>TK A1-B2, C1-D2, A2-B1, C2-D1; BK; CK</x:v>
      </x:c>
      <x:c r="J46" s="28" t="str">
        <x:v>Hoạt động</x:v>
      </x:c>
      <x:c r="K46" s="28" t="str">
        <x:v>PDF trang 31-33</x:v>
      </x:c>
      <x:c r="L46" s="25" t="str">
        <x:f>IF(A46="","",IF(COUNTIF($A$6:$A$50,A46)&gt;1,"TRÙNG MÃ","OK"))</x:f>
        <x:v>OK</x:v>
      </x:c>
      <x:c r="M46" s="1"/>
      <x:c r="N46" s="1"/>
    </x:row>
    <x:row r="47">
      <x:c r="A47" s="25" t="str">
        <x:v>TEN-DON-NAM45</x:v>
      </x:c>
      <x:c r="B47" s="25" t="str">
        <x:v>TEN</x:v>
      </x:c>
      <x:c r="C47" s="25" t="str">
        <x:v>Tennis</x:v>
      </x:c>
      <x:c r="D47" s="28" t="str">
        <x:v>Đơn nam từ 45 tuổi trở xuống</x:v>
      </x:c>
      <x:c r="E47" s="28" t="str">
        <x:v>Cá nhân</x:v>
      </x:c>
      <x:c r="F47" s="28" t="str"/>
      <x:c r="G47" s="28" t="n">
        <x:v>2</x:v>
      </x:c>
      <x:c r="H47" s="28" t="str">
        <x:v>A/B: 3 VĐV</x:v>
      </x:c>
      <x:c r="I47" s="28" t="str">
        <x:v>BK A1-B2, B1-A2; chung kết</x:v>
      </x:c>
      <x:c r="J47" s="28" t="str">
        <x:v>Hoạt động</x:v>
      </x:c>
      <x:c r="K47" s="28" t="str">
        <x:v>PDF trang 1</x:v>
      </x:c>
      <x:c r="L47" s="25" t="str">
        <x:f>IF(A47="","",IF(COUNTIF($A$6:$A$50,A47)&gt;1,"TRÙNG MÃ","OK"))</x:f>
        <x:v>OK</x:v>
      </x:c>
      <x:c r="M47" s="1"/>
      <x:c r="N47" s="1"/>
    </x:row>
    <x:row r="48">
      <x:c r="A48" s="25" t="str">
        <x:v>TEN-DON-NAM46</x:v>
      </x:c>
      <x:c r="B48" s="25" t="str">
        <x:v>TEN</x:v>
      </x:c>
      <x:c r="C48" s="25" t="str">
        <x:v>Tennis</x:v>
      </x:c>
      <x:c r="D48" s="28" t="str">
        <x:v>Đơn nam từ 46 tuổi trở lên</x:v>
      </x:c>
      <x:c r="E48" s="28" t="str">
        <x:v>Cá nhân</x:v>
      </x:c>
      <x:c r="F48" s="28" t="str"/>
      <x:c r="G48" s="28" t="n">
        <x:v>3</x:v>
      </x:c>
      <x:c r="H48" s="28" t="str">
        <x:v>A/B/C: 3 VĐV</x:v>
      </x:c>
      <x:c r="I48" s="28" t="str">
        <x:v>BK: A1-B1; C1-Nhì cao điểm; chung kết</x:v>
      </x:c>
      <x:c r="J48" s="28" t="str">
        <x:v>Hoạt động</x:v>
      </x:c>
      <x:c r="K48" s="28" t="str">
        <x:v>PDF trang 2-3</x:v>
      </x:c>
      <x:c r="L48" s="25" t="str">
        <x:f>IF(A48="","",IF(COUNTIF($A$6:$A$50,A48)&gt;1,"TRÙNG MÃ","OK"))</x:f>
        <x:v>OK</x:v>
      </x:c>
      <x:c r="M48" s="1"/>
      <x:c r="N48" s="1"/>
    </x:row>
    <x:row r="49">
      <x:c r="A49" s="25" t="str">
        <x:v>TEN-DOI-NAM45</x:v>
      </x:c>
      <x:c r="B49" s="25" t="str">
        <x:v>TEN</x:v>
      </x:c>
      <x:c r="C49" s="25" t="str">
        <x:v>Tennis</x:v>
      </x:c>
      <x:c r="D49" s="28" t="str">
        <x:v>Đôi nam từ 45 tuổi trở xuống</x:v>
      </x:c>
      <x:c r="E49" s="28" t="str">
        <x:v>Đôi</x:v>
      </x:c>
      <x:c r="F49" s="28" t="str"/>
      <x:c r="G49" s="28" t="n">
        <x:v>3</x:v>
      </x:c>
      <x:c r="H49" s="28" t="str">
        <x:v>A/B/C: 3 đôi</x:v>
      </x:c>
      <x:c r="I49" s="28" t="str">
        <x:v>BK: A1-B1; C1-Nhì cao điểm; chung kết</x:v>
      </x:c>
      <x:c r="J49" s="28" t="str">
        <x:v>Hoạt động</x:v>
      </x:c>
      <x:c r="K49" s="28" t="str">
        <x:v>PDF trang 4-5</x:v>
      </x:c>
      <x:c r="L49" s="25" t="str">
        <x:f>IF(A49="","",IF(COUNTIF($A$6:$A$50,A49)&gt;1,"TRÙNG MÃ","OK"))</x:f>
        <x:v>OK</x:v>
      </x:c>
      <x:c r="M49" s="1"/>
      <x:c r="N49" s="1"/>
    </x:row>
    <x:row r="50">
      <x:c r="A50" s="25" t="str">
        <x:v>TEN-DOI-NAM46</x:v>
      </x:c>
      <x:c r="B50" s="25" t="str">
        <x:v>TEN</x:v>
      </x:c>
      <x:c r="C50" s="25" t="str">
        <x:v>Tennis</x:v>
      </x:c>
      <x:c r="D50" s="28" t="str">
        <x:v>Đôi nam từ 46 tuổi trở lên</x:v>
      </x:c>
      <x:c r="E50" s="28" t="str">
        <x:v>Đôi</x:v>
      </x:c>
      <x:c r="F50" s="28" t="str"/>
      <x:c r="G50" s="28" t="n">
        <x:v>1</x:v>
      </x:c>
      <x:c r="H50" s="28" t="str">
        <x:v>A: 4 đôi</x:v>
      </x:c>
      <x:c r="I50" s="28" t="str">
        <x:v>Một bảng vòng tròn; xếp hạng trực tiếp</x:v>
      </x:c>
      <x:c r="J50" s="28" t="str">
        <x:v>Hoạt động</x:v>
      </x:c>
      <x:c r="K50" s="28" t="str">
        <x:v>Tiêu đề đã được sửa trong PDF mới; mã cũ TEN-DOI-NAM46-CHECK cần ánh xạ sang mã này khi import</x:v>
      </x:c>
      <x:c r="L50" s="25" t="str">
        <x:f>IF(A50="","",IF(COUNTIF($A$6:$A$50,A50)&gt;1,"TRÙNG MÃ","OK"))</x:f>
        <x:v>OK</x:v>
      </x:c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L6:L50">
    <x:cfRule type="containsText" dxfId="0" priority="1" operator="containsText" text="TRÙNG"/>
  </x:conditionalFormatting>
  <x:dataValidations count="1">
    <x:dataValidation type="list" sqref="J6:J50">
      <x:formula1>"Hoạt động,Chờ xác nhận,Ngừng sử dụng"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Bơi lội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BOI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BOI-NAM45-100-X-01</x:v>
      </x:c>
      <x:c r="B8" s="24" t="str">
        <x:v>BOI-NAM45-100</x:v>
      </x:c>
      <x:c r="C8" s="24" t="str">
        <x:v>-</x:v>
      </x:c>
      <x:c r="D8" s="34" t="n">
        <x:v>1</x:v>
      </x:c>
      <x:c r="E8" s="27" t="str">
        <x:v>Bùi Tá Phông</x:v>
      </x:c>
      <x:c r="F8" s="27" t="str"/>
      <x:c r="G8" s="27" t="str"/>
      <x:c r="H8" s="27" t="str"/>
      <x:c r="I8" s="27" t="str"/>
      <x:c r="J8" s="27" t="str">
        <x:v>PTSC HQ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ID",IF(COUNTIF($A$8:$A$80,A8)&gt;1,"TRÙNG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BOI-NAM45-100-X-02</x:v>
      </x:c>
      <x:c r="B9" s="26" t="str">
        <x:v>BOI-NAM45-100</x:v>
      </x:c>
      <x:c r="C9" s="26" t="str">
        <x:v>-</x:v>
      </x:c>
      <x:c r="D9" s="35" t="n">
        <x:v>2</x:v>
      </x:c>
      <x:c r="E9" s="28" t="str">
        <x:v>Võ Hữu Dũng</x:v>
      </x:c>
      <x:c r="F9" s="28" t="str"/>
      <x:c r="G9" s="28" t="str"/>
      <x:c r="H9" s="28" t="str"/>
      <x:c r="I9" s="28" t="str"/>
      <x:c r="J9" s="28" t="str">
        <x:v>PTSC HQ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ID",IF(COUNTIF($A$8:$A$80,A9)&gt;1,"TRÙNG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BOI-NAM45-100-X-03</x:v>
      </x:c>
      <x:c r="B10" s="26" t="str">
        <x:v>BOI-NAM45-100</x:v>
      </x:c>
      <x:c r="C10" s="26" t="str">
        <x:v>-</x:v>
      </x:c>
      <x:c r="D10" s="35" t="n">
        <x:v>3</x:v>
      </x:c>
      <x:c r="E10" s="28" t="str">
        <x:v>Nguyễn Thanh Tùng</x:v>
      </x:c>
      <x:c r="F10" s="28" t="str"/>
      <x:c r="G10" s="28" t="str"/>
      <x:c r="H10" s="28" t="str"/>
      <x:c r="I10" s="28" t="str"/>
      <x:c r="J10" s="28" t="str">
        <x:v>PTSC HQ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ID",IF(COUNTIF($A$8:$A$80,A10)&gt;1,"TRÙNG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BOI-NAM45-100-X-04</x:v>
      </x:c>
      <x:c r="B11" s="26" t="str">
        <x:v>BOI-NAM45-100</x:v>
      </x:c>
      <x:c r="C11" s="26" t="str">
        <x:v>-</x:v>
      </x:c>
      <x:c r="D11" s="35" t="n">
        <x:v>4</x:v>
      </x:c>
      <x:c r="E11" s="28" t="str">
        <x:v>Phạm Văn Đương</x:v>
      </x:c>
      <x:c r="F11" s="28" t="str"/>
      <x:c r="G11" s="28" t="str"/>
      <x:c r="H11" s="28" t="str"/>
      <x:c r="I11" s="28" t="str"/>
      <x:c r="J11" s="28" t="str">
        <x:v>PTSC M&amp;C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ID",IF(COUNTIF($A$8:$A$80,A11)&gt;1,"TRÙNG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BOI-NAM45-100-X-05</x:v>
      </x:c>
      <x:c r="B12" s="26" t="str">
        <x:v>BOI-NAM45-100</x:v>
      </x:c>
      <x:c r="C12" s="26" t="str">
        <x:v>-</x:v>
      </x:c>
      <x:c r="D12" s="35" t="n">
        <x:v>5</x:v>
      </x:c>
      <x:c r="E12" s="28" t="str">
        <x:v>Nguyễn Mai Nam</x:v>
      </x:c>
      <x:c r="F12" s="28" t="str"/>
      <x:c r="G12" s="28" t="str"/>
      <x:c r="H12" s="28" t="str"/>
      <x:c r="I12" s="28" t="str"/>
      <x:c r="J12" s="28" t="str">
        <x:v>PTSC M&amp;C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ID",IF(COUNTIF($A$8:$A$80,A12)&gt;1,"TRÙNG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BOI-NAM45-100-X-06</x:v>
      </x:c>
      <x:c r="B13" s="26" t="str">
        <x:v>BOI-NAM45-100</x:v>
      </x:c>
      <x:c r="C13" s="26" t="str">
        <x:v>-</x:v>
      </x:c>
      <x:c r="D13" s="35" t="n">
        <x:v>6</x:v>
      </x:c>
      <x:c r="E13" s="28" t="str">
        <x:v>Trịnh Xuân Cảnh</x:v>
      </x:c>
      <x:c r="F13" s="28" t="str"/>
      <x:c r="G13" s="28" t="str"/>
      <x:c r="H13" s="28" t="str"/>
      <x:c r="I13" s="28" t="str"/>
      <x:c r="J13" s="28" t="str">
        <x:v>PTSC M&amp;C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ID",IF(COUNTIF($A$8:$A$80,A13)&gt;1,"TRÙNG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BOI-NAM45-100-X-07</x:v>
      </x:c>
      <x:c r="B14" s="26" t="str">
        <x:v>BOI-NAM45-100</x:v>
      </x:c>
      <x:c r="C14" s="26" t="str">
        <x:v>-</x:v>
      </x:c>
      <x:c r="D14" s="35" t="n">
        <x:v>7</x:v>
      </x:c>
      <x:c r="E14" s="28" t="str">
        <x:v>Nguyễn Công Khiên</x:v>
      </x:c>
      <x:c r="F14" s="28" t="str"/>
      <x:c r="G14" s="28" t="str"/>
      <x:c r="H14" s="28" t="str"/>
      <x:c r="I14" s="28" t="str"/>
      <x:c r="J14" s="28" t="str">
        <x:v>PTSC M&amp;C</x:v>
      </x:c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ID",IF(COUNTIF($A$8:$A$80,A14)&gt;1,"TRÙNG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BOI-NAM45-100-X-08</x:v>
      </x:c>
      <x:c r="B15" s="26" t="str">
        <x:v>BOI-NAM45-100</x:v>
      </x:c>
      <x:c r="C15" s="26" t="str">
        <x:v>-</x:v>
      </x:c>
      <x:c r="D15" s="35" t="n">
        <x:v>8</x:v>
      </x:c>
      <x:c r="E15" s="28" t="str">
        <x:v>Thạch Ngọc Hóa</x:v>
      </x:c>
      <x:c r="F15" s="28" t="str"/>
      <x:c r="G15" s="28" t="str"/>
      <x:c r="H15" s="28" t="str"/>
      <x:c r="I15" s="28" t="str"/>
      <x:c r="J15" s="28" t="str">
        <x:v>PTSC M&amp;C</x:v>
      </x:c>
      <x:c r="K15" s="28" t="str"/>
      <x:c r="L15" s="33" t="n">
        <x:v>1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ID",IF(COUNTIF($A$8:$A$80,A15)&gt;1,"TRÙNG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BOI-NAM45-100-X-09</x:v>
      </x:c>
      <x:c r="B16" s="26" t="str">
        <x:v>BOI-NAM45-100</x:v>
      </x:c>
      <x:c r="C16" s="26" t="str">
        <x:v>-</x:v>
      </x:c>
      <x:c r="D16" s="35" t="n">
        <x:v>9</x:v>
      </x:c>
      <x:c r="E16" s="28" t="str">
        <x:v>Tăng Hoàng Nhân</x:v>
      </x:c>
      <x:c r="F16" s="28" t="str"/>
      <x:c r="G16" s="28" t="str"/>
      <x:c r="H16" s="28" t="str"/>
      <x:c r="I16" s="28" t="str"/>
      <x:c r="J16" s="28" t="str">
        <x:v>PPS</x:v>
      </x:c>
      <x:c r="K16" s="28" t="str"/>
      <x:c r="L16" s="33" t="n">
        <x:v>1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ID",IF(COUNTIF($A$8:$A$80,A16)&gt;1,"TRÙNG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BOI-NAM45-100-X-10</x:v>
      </x:c>
      <x:c r="B17" s="26" t="str">
        <x:v>BOI-NAM45-100</x:v>
      </x:c>
      <x:c r="C17" s="26" t="str">
        <x:v>-</x:v>
      </x:c>
      <x:c r="D17" s="35" t="n">
        <x:v>10</x:v>
      </x:c>
      <x:c r="E17" s="28" t="str">
        <x:v>Ngô Trí Hòa</x:v>
      </x:c>
      <x:c r="F17" s="28" t="str"/>
      <x:c r="G17" s="28" t="str"/>
      <x:c r="H17" s="28" t="str"/>
      <x:c r="I17" s="28" t="str"/>
      <x:c r="J17" s="28" t="str">
        <x:v>PPS</x:v>
      </x:c>
      <x:c r="K17" s="28" t="str"/>
      <x:c r="L17" s="33" t="n">
        <x:v>1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ID",IF(COUNTIF($A$8:$A$80,A17)&gt;1,"TRÙNG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BOI-NAM45-100-X-11</x:v>
      </x:c>
      <x:c r="B18" s="26" t="str">
        <x:v>BOI-NAM45-100</x:v>
      </x:c>
      <x:c r="C18" s="26" t="str">
        <x:v>-</x:v>
      </x:c>
      <x:c r="D18" s="35" t="n">
        <x:v>11</x:v>
      </x:c>
      <x:c r="E18" s="28" t="str">
        <x:v>Nguyễn Đăng Vi</x:v>
      </x:c>
      <x:c r="F18" s="28" t="str"/>
      <x:c r="G18" s="28" t="str"/>
      <x:c r="H18" s="28" t="str"/>
      <x:c r="I18" s="28" t="str"/>
      <x:c r="J18" s="28" t="str">
        <x:v>PTSC Long Phú</x:v>
      </x:c>
      <x:c r="K18" s="28" t="str"/>
      <x:c r="L18" s="33" t="n">
        <x:v>1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ID",IF(COUNTIF($A$8:$A$80,A18)&gt;1,"TRÙNG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BOI-NAM45-100-X-12</x:v>
      </x:c>
      <x:c r="B19" s="26" t="str">
        <x:v>BOI-NAM45-100</x:v>
      </x:c>
      <x:c r="C19" s="26" t="str">
        <x:v>-</x:v>
      </x:c>
      <x:c r="D19" s="35" t="n">
        <x:v>12</x:v>
      </x:c>
      <x:c r="E19" s="28" t="str">
        <x:v>Trần Văn Đa</x:v>
      </x:c>
      <x:c r="F19" s="28" t="str"/>
      <x:c r="G19" s="28" t="str"/>
      <x:c r="H19" s="28" t="str"/>
      <x:c r="I19" s="28" t="str"/>
      <x:c r="J19" s="28" t="str">
        <x:v>PVSecurity</x:v>
      </x:c>
      <x:c r="K19" s="28" t="str"/>
      <x:c r="L19" s="33" t="n">
        <x:v>1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ID",IF(COUNTIF($A$8:$A$80,A19)&gt;1,"TRÙNG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BOI-NAM45-100-X-13</x:v>
      </x:c>
      <x:c r="B20" s="26" t="str">
        <x:v>BOI-NAM45-100</x:v>
      </x:c>
      <x:c r="C20" s="26" t="str">
        <x:v>-</x:v>
      </x:c>
      <x:c r="D20" s="35" t="n">
        <x:v>13</x:v>
      </x:c>
      <x:c r="E20" s="28" t="str">
        <x:v>Lê Thanh Đạt</x:v>
      </x:c>
      <x:c r="F20" s="28" t="str"/>
      <x:c r="G20" s="28" t="str"/>
      <x:c r="H20" s="28" t="str"/>
      <x:c r="I20" s="28" t="str"/>
      <x:c r="J20" s="28" t="str">
        <x:v>PTSC Quảng Ngãi</x:v>
      </x:c>
      <x:c r="K20" s="28" t="str"/>
      <x:c r="L20" s="33" t="n">
        <x:v>1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ID",IF(COUNTIF($A$8:$A$80,A20)&gt;1,"TRÙNG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BOI-NAM45-100-X-14</x:v>
      </x:c>
      <x:c r="B21" s="26" t="str">
        <x:v>BOI-NAM45-100</x:v>
      </x:c>
      <x:c r="C21" s="26" t="str">
        <x:v>-</x:v>
      </x:c>
      <x:c r="D21" s="35" t="n">
        <x:v>14</x:v>
      </x:c>
      <x:c r="E21" s="28" t="str">
        <x:v>Võ Xuân Trí</x:v>
      </x:c>
      <x:c r="F21" s="28" t="str"/>
      <x:c r="G21" s="28" t="str"/>
      <x:c r="H21" s="28" t="str"/>
      <x:c r="I21" s="28" t="str"/>
      <x:c r="J21" s="28" t="str">
        <x:v>PTSC Quảng Ngãi</x:v>
      </x:c>
      <x:c r="K21" s="28" t="str"/>
      <x:c r="L21" s="33" t="n">
        <x:v>1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ID",IF(COUNTIF($A$8:$A$80,A21)&gt;1,"TRÙNG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BOI-NAM45-100-X-15</x:v>
      </x:c>
      <x:c r="B22" s="26" t="str">
        <x:v>BOI-NAM45-100</x:v>
      </x:c>
      <x:c r="C22" s="26" t="str">
        <x:v>-</x:v>
      </x:c>
      <x:c r="D22" s="35" t="n">
        <x:v>15</x:v>
      </x:c>
      <x:c r="E22" s="28" t="str">
        <x:v>Lê Như Ý</x:v>
      </x:c>
      <x:c r="F22" s="28" t="str"/>
      <x:c r="G22" s="28" t="str"/>
      <x:c r="H22" s="28" t="str"/>
      <x:c r="I22" s="28" t="str"/>
      <x:c r="J22" s="28" t="str">
        <x:v>PTSC Miền Trung</x:v>
      </x:c>
      <x:c r="K22" s="28" t="str"/>
      <x:c r="L22" s="33" t="n">
        <x:v>1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ID",IF(COUNTIF($A$8:$A$80,A22)&gt;1,"TRÙNG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BOI-NAM45-100-X-16</x:v>
      </x:c>
      <x:c r="B23" s="26" t="str">
        <x:v>BOI-NAM45-100</x:v>
      </x:c>
      <x:c r="C23" s="26" t="str">
        <x:v>-</x:v>
      </x:c>
      <x:c r="D23" s="35" t="n">
        <x:v>16</x:v>
      </x:c>
      <x:c r="E23" s="28" t="str">
        <x:v>Lưu Trần Đại Vương</x:v>
      </x:c>
      <x:c r="F23" s="28" t="str"/>
      <x:c r="G23" s="28" t="str"/>
      <x:c r="H23" s="28" t="str"/>
      <x:c r="I23" s="28" t="str"/>
      <x:c r="J23" s="28" t="str">
        <x:v>PTSC Thanh Hóa</x:v>
      </x:c>
      <x:c r="K23" s="28" t="str"/>
      <x:c r="L23" s="33" t="n">
        <x:v>1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ID",IF(COUNTIF($A$8:$A$80,A23)&gt;1,"TRÙNG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BOI-NAM45-100-X-17</x:v>
      </x:c>
      <x:c r="B24" s="26" t="str">
        <x:v>BOI-NAM45-100</x:v>
      </x:c>
      <x:c r="C24" s="26" t="str">
        <x:v>-</x:v>
      </x:c>
      <x:c r="D24" s="35" t="n">
        <x:v>17</x:v>
      </x:c>
      <x:c r="E24" s="28" t="str">
        <x:v>Bằng Văn Hùng</x:v>
      </x:c>
      <x:c r="F24" s="28" t="str"/>
      <x:c r="G24" s="28" t="str"/>
      <x:c r="H24" s="28" t="str"/>
      <x:c r="I24" s="28" t="str"/>
      <x:c r="J24" s="28" t="str">
        <x:v>PTSC Thanh Hóa</x:v>
      </x:c>
      <x:c r="K24" s="28" t="str"/>
      <x:c r="L24" s="33" t="n">
        <x:v>1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ID",IF(COUNTIF($A$8:$A$80,A24)&gt;1,"TRÙNG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BOI-NAM45-100-X-18</x:v>
      </x:c>
      <x:c r="B25" s="26" t="str">
        <x:v>BOI-NAM45-100</x:v>
      </x:c>
      <x:c r="C25" s="26" t="str">
        <x:v>-</x:v>
      </x:c>
      <x:c r="D25" s="35" t="n">
        <x:v>18</x:v>
      </x:c>
      <x:c r="E25" s="28" t="str">
        <x:v>Nguyễn Nhật Anh</x:v>
      </x:c>
      <x:c r="F25" s="28" t="str"/>
      <x:c r="G25" s="28" t="str"/>
      <x:c r="H25" s="28" t="str"/>
      <x:c r="I25" s="28" t="str"/>
      <x:c r="J25" s="28" t="str">
        <x:v>PTSC Marine</x:v>
      </x:c>
      <x:c r="K25" s="28" t="str"/>
      <x:c r="L25" s="33" t="n">
        <x:v>1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ID",IF(COUNTIF($A$8:$A$80,A25)&gt;1,"TRÙNG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BOI-NAM45-100-X-19</x:v>
      </x:c>
      <x:c r="B26" s="26" t="str">
        <x:v>BOI-NAM45-100</x:v>
      </x:c>
      <x:c r="C26" s="26" t="str">
        <x:v>-</x:v>
      </x:c>
      <x:c r="D26" s="35" t="n">
        <x:v>19</x:v>
      </x:c>
      <x:c r="E26" s="28" t="str">
        <x:v>Lê Anh Cường</x:v>
      </x:c>
      <x:c r="F26" s="28" t="str"/>
      <x:c r="G26" s="28" t="str"/>
      <x:c r="H26" s="28" t="str"/>
      <x:c r="I26" s="28" t="str"/>
      <x:c r="J26" s="28" t="str">
        <x:v>PTSC Marine</x:v>
      </x:c>
      <x:c r="K26" s="28" t="str"/>
      <x:c r="L26" s="33" t="n">
        <x:v>1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ID",IF(COUNTIF($A$8:$A$80,A26)&gt;1,"TRÙNG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BOI-NAM45-100-X-20</x:v>
      </x:c>
      <x:c r="B27" s="26" t="str">
        <x:v>BOI-NAM45-100</x:v>
      </x:c>
      <x:c r="C27" s="26" t="str">
        <x:v>-</x:v>
      </x:c>
      <x:c r="D27" s="35" t="n">
        <x:v>20</x:v>
      </x:c>
      <x:c r="E27" s="28" t="str">
        <x:v>Vũ Anh Tài</x:v>
      </x:c>
      <x:c r="F27" s="28" t="str"/>
      <x:c r="G27" s="28" t="str"/>
      <x:c r="H27" s="28" t="str"/>
      <x:c r="I27" s="28" t="str"/>
      <x:c r="J27" s="28" t="str">
        <x:v>POS</x:v>
      </x:c>
      <x:c r="K27" s="28" t="str"/>
      <x:c r="L27" s="33" t="n">
        <x:v>1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ID",IF(COUNTIF($A$8:$A$80,A27)&gt;1,"TRÙNG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BOI-NAM46-100-X-01</x:v>
      </x:c>
      <x:c r="B28" s="26" t="str">
        <x:v>BOI-NAM46-100</x:v>
      </x:c>
      <x:c r="C28" s="26" t="str">
        <x:v>-</x:v>
      </x:c>
      <x:c r="D28" s="35" t="n">
        <x:v>1</x:v>
      </x:c>
      <x:c r="E28" s="28" t="str">
        <x:v>Bùi Sĩ Hồi</x:v>
      </x:c>
      <x:c r="F28" s="28" t="str"/>
      <x:c r="G28" s="28" t="str"/>
      <x:c r="H28" s="28" t="str"/>
      <x:c r="I28" s="28" t="str"/>
      <x:c r="J28" s="28" t="str">
        <x:v>PTSC M&amp;C</x:v>
      </x:c>
      <x:c r="K28" s="28" t="str"/>
      <x:c r="L28" s="33" t="n">
        <x:v>2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ID",IF(COUNTIF($A$8:$A$80,A28)&gt;1,"TRÙNG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BOI-NAM46-100-X-02</x:v>
      </x:c>
      <x:c r="B29" s="26" t="str">
        <x:v>BOI-NAM46-100</x:v>
      </x:c>
      <x:c r="C29" s="26" t="str">
        <x:v>-</x:v>
      </x:c>
      <x:c r="D29" s="35" t="n">
        <x:v>2</x:v>
      </x:c>
      <x:c r="E29" s="28" t="str">
        <x:v>Trần Xuân Chánh</x:v>
      </x:c>
      <x:c r="F29" s="28" t="str"/>
      <x:c r="G29" s="28" t="str"/>
      <x:c r="H29" s="28" t="str"/>
      <x:c r="I29" s="28" t="str"/>
      <x:c r="J29" s="28" t="str">
        <x:v>PTSC M&amp;C</x:v>
      </x:c>
      <x:c r="K29" s="28" t="str"/>
      <x:c r="L29" s="33" t="n">
        <x:v>2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ID",IF(COUNTIF($A$8:$A$80,A29)&gt;1,"TRÙNG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BOI-NAM46-100-X-03</x:v>
      </x:c>
      <x:c r="B30" s="26" t="str">
        <x:v>BOI-NAM46-100</x:v>
      </x:c>
      <x:c r="C30" s="26" t="str">
        <x:v>-</x:v>
      </x:c>
      <x:c r="D30" s="35" t="n">
        <x:v>3</x:v>
      </x:c>
      <x:c r="E30" s="28" t="str">
        <x:v>Nguyễn Anh Tuấn</x:v>
      </x:c>
      <x:c r="F30" s="28" t="str"/>
      <x:c r="G30" s="28" t="str"/>
      <x:c r="H30" s="28" t="str"/>
      <x:c r="I30" s="28" t="str"/>
      <x:c r="J30" s="28" t="str">
        <x:v>PTSC Đình Vũ</x:v>
      </x:c>
      <x:c r="K30" s="28" t="str"/>
      <x:c r="L30" s="33" t="n">
        <x:v>2</x:v>
      </x:c>
      <x:c r="M30" s="33" t="str">
        <x:f>IF(E30="","CHỜ NHẬP","ĐÃ CÓ DỮ LIỆU")</x:f>
        <x:v>ĐÃ CÓ DỮ LIỆU</x:v>
      </x:c>
      <x:c r="N30" s="33" t="str">
        <x:f>IF(AND(B30="",E30=""),"",IF(A30="","THIẾU ID",IF(COUNTIF($A$8:$A$80,A30)&gt;1,"TRÙNG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BOI-NAM46-100-X-04</x:v>
      </x:c>
      <x:c r="B31" s="26" t="str">
        <x:v>BOI-NAM46-100</x:v>
      </x:c>
      <x:c r="C31" s="26" t="str">
        <x:v>-</x:v>
      </x:c>
      <x:c r="D31" s="35" t="n">
        <x:v>4</x:v>
      </x:c>
      <x:c r="E31" s="28" t="str">
        <x:v>Lê Toàn Thắng</x:v>
      </x:c>
      <x:c r="F31" s="28" t="str"/>
      <x:c r="G31" s="28" t="str"/>
      <x:c r="H31" s="28" t="str"/>
      <x:c r="I31" s="28" t="str"/>
      <x:c r="J31" s="28" t="str">
        <x:v>PTSC Miền Trung</x:v>
      </x:c>
      <x:c r="K31" s="28" t="str"/>
      <x:c r="L31" s="33" t="n">
        <x:v>2</x:v>
      </x:c>
      <x:c r="M31" s="33" t="str">
        <x:f>IF(E31="","CHỜ NHẬP","ĐÃ CÓ DỮ LIỆU")</x:f>
        <x:v>ĐÃ CÓ DỮ LIỆU</x:v>
      </x:c>
      <x:c r="N31" s="33" t="str">
        <x:f>IF(AND(B31="",E31=""),"",IF(A31="","THIẾU ID",IF(COUNTIF($A$8:$A$80,A31)&gt;1,"TRÙNG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BOI-NAM46-100-X-05</x:v>
      </x:c>
      <x:c r="B32" s="26" t="str">
        <x:v>BOI-NAM46-100</x:v>
      </x:c>
      <x:c r="C32" s="26" t="str">
        <x:v>-</x:v>
      </x:c>
      <x:c r="D32" s="35" t="n">
        <x:v>5</x:v>
      </x:c>
      <x:c r="E32" s="28" t="str">
        <x:v>Phạm Đăng Lâm</x:v>
      </x:c>
      <x:c r="F32" s="28" t="str"/>
      <x:c r="G32" s="28" t="str"/>
      <x:c r="H32" s="28" t="str"/>
      <x:c r="I32" s="28" t="str"/>
      <x:c r="J32" s="28" t="str">
        <x:v>PTSC Thanh Hóa</x:v>
      </x:c>
      <x:c r="K32" s="28" t="str"/>
      <x:c r="L32" s="33" t="n">
        <x:v>2</x:v>
      </x:c>
      <x:c r="M32" s="33" t="str">
        <x:f>IF(E32="","CHỜ NHẬP","ĐÃ CÓ DỮ LIỆU")</x:f>
        <x:v>ĐÃ CÓ DỮ LIỆU</x:v>
      </x:c>
      <x:c r="N32" s="33" t="str">
        <x:f>IF(AND(B32="",E32=""),"",IF(A32="","THIẾU ID",IF(COUNTIF($A$8:$A$80,A32)&gt;1,"TRÙNG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BOI-NAM46-100-X-06</x:v>
      </x:c>
      <x:c r="B33" s="26" t="str">
        <x:v>BOI-NAM46-100</x:v>
      </x:c>
      <x:c r="C33" s="26" t="str">
        <x:v>-</x:v>
      </x:c>
      <x:c r="D33" s="35" t="n">
        <x:v>6</x:v>
      </x:c>
      <x:c r="E33" s="28" t="str">
        <x:v>Lữ Đức Thắng</x:v>
      </x:c>
      <x:c r="F33" s="28" t="str"/>
      <x:c r="G33" s="28" t="str"/>
      <x:c r="H33" s="28" t="str"/>
      <x:c r="I33" s="28" t="str"/>
      <x:c r="J33" s="28" t="str">
        <x:v>POS</x:v>
      </x:c>
      <x:c r="K33" s="28" t="str"/>
      <x:c r="L33" s="33" t="n">
        <x:v>2</x:v>
      </x:c>
      <x:c r="M33" s="33" t="str">
        <x:f>IF(E33="","CHỜ NHẬP","ĐÃ CÓ DỮ LIỆU")</x:f>
        <x:v>ĐÃ CÓ DỮ LIỆU</x:v>
      </x:c>
      <x:c r="N33" s="33" t="str">
        <x:f>IF(AND(B33="",E33=""),"",IF(A33="","THIẾU ID",IF(COUNTIF($A$8:$A$80,A33)&gt;1,"TRÙNG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BOI-NU45-50-X-01</x:v>
      </x:c>
      <x:c r="B34" s="26" t="str">
        <x:v>BOI-NU45-50</x:v>
      </x:c>
      <x:c r="C34" s="26" t="str">
        <x:v>-</x:v>
      </x:c>
      <x:c r="D34" s="35" t="n">
        <x:v>1</x:v>
      </x:c>
      <x:c r="E34" s="28" t="str">
        <x:v>Trần Thị Diệu Anh</x:v>
      </x:c>
      <x:c r="F34" s="28" t="str"/>
      <x:c r="G34" s="28" t="str"/>
      <x:c r="H34" s="28" t="str"/>
      <x:c r="I34" s="28" t="str"/>
      <x:c r="J34" s="28" t="str">
        <x:v>PTSC HQ</x:v>
      </x:c>
      <x:c r="K34" s="28" t="str"/>
      <x:c r="L34" s="33" t="n">
        <x:v>3</x:v>
      </x:c>
      <x:c r="M34" s="33" t="str">
        <x:f>IF(E34="","CHỜ NHẬP","ĐÃ CÓ DỮ LIỆU")</x:f>
        <x:v>ĐÃ CÓ DỮ LIỆU</x:v>
      </x:c>
      <x:c r="N34" s="33" t="str">
        <x:f>IF(AND(B34="",E34=""),"",IF(A34="","THIẾU ID",IF(COUNTIF($A$8:$A$80,A34)&gt;1,"TRÙNG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BOI-NU45-50-X-02</x:v>
      </x:c>
      <x:c r="B35" s="26" t="str">
        <x:v>BOI-NU45-50</x:v>
      </x:c>
      <x:c r="C35" s="26" t="str">
        <x:v>-</x:v>
      </x:c>
      <x:c r="D35" s="35" t="n">
        <x:v>2</x:v>
      </x:c>
      <x:c r="E35" s="28" t="str">
        <x:v>Nguyễn Hoàng Hà Linh</x:v>
      </x:c>
      <x:c r="F35" s="28" t="str"/>
      <x:c r="G35" s="28" t="str"/>
      <x:c r="H35" s="28" t="str"/>
      <x:c r="I35" s="28" t="str"/>
      <x:c r="J35" s="28" t="str">
        <x:v>PTSC HQ</x:v>
      </x:c>
      <x:c r="K35" s="28" t="str"/>
      <x:c r="L35" s="33" t="n">
        <x:v>3</x:v>
      </x:c>
      <x:c r="M35" s="33" t="str">
        <x:f>IF(E35="","CHỜ NHẬP","ĐÃ CÓ DỮ LIỆU")</x:f>
        <x:v>ĐÃ CÓ DỮ LIỆU</x:v>
      </x:c>
      <x:c r="N35" s="33" t="str">
        <x:f>IF(AND(B35="",E35=""),"",IF(A35="","THIẾU ID",IF(COUNTIF($A$8:$A$80,A35)&gt;1,"TRÙNG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  <x:v>BOI-NU45-50-X-03</x:v>
      </x:c>
      <x:c r="B36" s="26" t="str">
        <x:v>BOI-NU45-50</x:v>
      </x:c>
      <x:c r="C36" s="26" t="str">
        <x:v>-</x:v>
      </x:c>
      <x:c r="D36" s="35" t="n">
        <x:v>3</x:v>
      </x:c>
      <x:c r="E36" s="28" t="str">
        <x:v>Nguyễn Thị Thùy Dung</x:v>
      </x:c>
      <x:c r="F36" s="28" t="str"/>
      <x:c r="G36" s="28" t="str"/>
      <x:c r="H36" s="28" t="str"/>
      <x:c r="I36" s="28" t="str"/>
      <x:c r="J36" s="28" t="str">
        <x:v>PTSC M&amp;C</x:v>
      </x:c>
      <x:c r="K36" s="28" t="str"/>
      <x:c r="L36" s="33" t="n">
        <x:v>3</x:v>
      </x:c>
      <x:c r="M36" s="33" t="str">
        <x:f>IF(E36="","CHỜ NHẬP","ĐÃ CÓ DỮ LIỆU")</x:f>
        <x:v>ĐÃ CÓ DỮ LIỆU</x:v>
      </x:c>
      <x:c r="N36" s="33" t="str">
        <x:f>IF(AND(B36="",E36=""),"",IF(A36="","THIẾU ID",IF(COUNTIF($A$8:$A$80,A36)&gt;1,"TRÙNG ID",IF(COUNTIF(HANG_MUC!$A$6:$A$50,B36)=0,"SAI HẠNG MỤC","OK"))))</x:f>
        <x:v>OK</x:v>
      </x:c>
    </x:row>
    <x:row r="37">
      <x:c r="A37" s="33" t="str">
        <x:f>IF(OR(B37="",D37=""),"",B37&amp;"-"&amp;IF(OR(C37="",C37="-"),"X",UPPER(C37))&amp;"-"&amp;TEXT(D37,"00"))</x:f>
        <x:v>BOI-NU45-50-X-04</x:v>
      </x:c>
      <x:c r="B37" s="26" t="str">
        <x:v>BOI-NU45-50</x:v>
      </x:c>
      <x:c r="C37" s="26" t="str">
        <x:v>-</x:v>
      </x:c>
      <x:c r="D37" s="35" t="n">
        <x:v>4</x:v>
      </x:c>
      <x:c r="E37" s="28" t="str">
        <x:v>Lê Thị Thịnh</x:v>
      </x:c>
      <x:c r="F37" s="28" t="str"/>
      <x:c r="G37" s="28" t="str"/>
      <x:c r="H37" s="28" t="str"/>
      <x:c r="I37" s="28" t="str"/>
      <x:c r="J37" s="28" t="str">
        <x:v>PTSC M&amp;C</x:v>
      </x:c>
      <x:c r="K37" s="28" t="str"/>
      <x:c r="L37" s="33" t="n">
        <x:v>3</x:v>
      </x:c>
      <x:c r="M37" s="33" t="str">
        <x:f>IF(E37="","CHỜ NHẬP","ĐÃ CÓ DỮ LIỆU")</x:f>
        <x:v>ĐÃ CÓ DỮ LIỆU</x:v>
      </x:c>
      <x:c r="N37" s="33" t="str">
        <x:f>IF(AND(B37="",E37=""),"",IF(A37="","THIẾU ID",IF(COUNTIF($A$8:$A$80,A37)&gt;1,"TRÙNG ID",IF(COUNTIF(HANG_MUC!$A$6:$A$50,B37)=0,"SAI HẠNG MỤC","OK"))))</x:f>
        <x:v>OK</x:v>
      </x:c>
    </x:row>
    <x:row r="38">
      <x:c r="A38" s="33" t="str">
        <x:f>IF(OR(B38="",D38=""),"",B38&amp;"-"&amp;IF(OR(C38="",C38="-"),"X",UPPER(C38))&amp;"-"&amp;TEXT(D38,"00"))</x:f>
        <x:v>BOI-NU45-50-X-05</x:v>
      </x:c>
      <x:c r="B38" s="26" t="str">
        <x:v>BOI-NU45-50</x:v>
      </x:c>
      <x:c r="C38" s="26" t="str">
        <x:v>-</x:v>
      </x:c>
      <x:c r="D38" s="35" t="n">
        <x:v>5</x:v>
      </x:c>
      <x:c r="E38" s="28" t="str">
        <x:v>Nguyễn Thị Thanh Nhã</x:v>
      </x:c>
      <x:c r="F38" s="28" t="str"/>
      <x:c r="G38" s="28" t="str"/>
      <x:c r="H38" s="28" t="str"/>
      <x:c r="I38" s="28" t="str"/>
      <x:c r="J38" s="28" t="str">
        <x:v>PTSC M&amp;C</x:v>
      </x:c>
      <x:c r="K38" s="28" t="str"/>
      <x:c r="L38" s="33" t="n">
        <x:v>3</x:v>
      </x:c>
      <x:c r="M38" s="33" t="str">
        <x:f>IF(E38="","CHỜ NHẬP","ĐÃ CÓ DỮ LIỆU")</x:f>
        <x:v>ĐÃ CÓ DỮ LIỆU</x:v>
      </x:c>
      <x:c r="N38" s="33" t="str">
        <x:f>IF(AND(B38="",E38=""),"",IF(A38="","THIẾU ID",IF(COUNTIF($A$8:$A$80,A38)&gt;1,"TRÙNG ID",IF(COUNTIF(HANG_MUC!$A$6:$A$50,B38)=0,"SAI HẠNG MỤC","OK"))))</x:f>
        <x:v>OK</x:v>
      </x:c>
    </x:row>
    <x:row r="39">
      <x:c r="A39" s="33" t="str">
        <x:f>IF(OR(B39="",D39=""),"",B39&amp;"-"&amp;IF(OR(C39="",C39="-"),"X",UPPER(C39))&amp;"-"&amp;TEXT(D39,"00"))</x:f>
        <x:v>BOI-NU45-50-X-06</x:v>
      </x:c>
      <x:c r="B39" s="26" t="str">
        <x:v>BOI-NU45-50</x:v>
      </x:c>
      <x:c r="C39" s="26" t="str">
        <x:v>-</x:v>
      </x:c>
      <x:c r="D39" s="35" t="n">
        <x:v>6</x:v>
      </x:c>
      <x:c r="E39" s="28" t="str">
        <x:v>Ngô Hoàng Ngân</x:v>
      </x:c>
      <x:c r="F39" s="28" t="str"/>
      <x:c r="G39" s="28" t="str"/>
      <x:c r="H39" s="28" t="str"/>
      <x:c r="I39" s="28" t="str"/>
      <x:c r="J39" s="28" t="str">
        <x:v>PTSC M&amp;C</x:v>
      </x:c>
      <x:c r="K39" s="28" t="str"/>
      <x:c r="L39" s="33" t="n">
        <x:v>3</x:v>
      </x:c>
      <x:c r="M39" s="33" t="str">
        <x:f>IF(E39="","CHỜ NHẬP","ĐÃ CÓ DỮ LIỆU")</x:f>
        <x:v>ĐÃ CÓ DỮ LIỆU</x:v>
      </x:c>
      <x:c r="N39" s="33" t="str">
        <x:f>IF(AND(B39="",E39=""),"",IF(A39="","THIẾU ID",IF(COUNTIF($A$8:$A$80,A39)&gt;1,"TRÙNG ID",IF(COUNTIF(HANG_MUC!$A$6:$A$50,B39)=0,"SAI HẠNG MỤC","OK"))))</x:f>
        <x:v>OK</x:v>
      </x:c>
    </x:row>
    <x:row r="40">
      <x:c r="A40" s="33" t="str">
        <x:f>IF(OR(B40="",D40=""),"",B40&amp;"-"&amp;IF(OR(C40="",C40="-"),"X",UPPER(C40))&amp;"-"&amp;TEXT(D40,"00"))</x:f>
        <x:v>BOI-NU45-50-X-07</x:v>
      </x:c>
      <x:c r="B40" s="26" t="str">
        <x:v>BOI-NU45-50</x:v>
      </x:c>
      <x:c r="C40" s="26" t="str">
        <x:v>-</x:v>
      </x:c>
      <x:c r="D40" s="35" t="n">
        <x:v>7</x:v>
      </x:c>
      <x:c r="E40" s="28" t="str">
        <x:v>Nguyễn Cát Nguyên</x:v>
      </x:c>
      <x:c r="F40" s="28" t="str"/>
      <x:c r="G40" s="28" t="str"/>
      <x:c r="H40" s="28" t="str"/>
      <x:c r="I40" s="28" t="str"/>
      <x:c r="J40" s="28" t="str">
        <x:v>PTSC M&amp;C</x:v>
      </x:c>
      <x:c r="K40" s="28" t="str"/>
      <x:c r="L40" s="33" t="n">
        <x:v>3</x:v>
      </x:c>
      <x:c r="M40" s="33" t="str">
        <x:f>IF(E40="","CHỜ NHẬP","ĐÃ CÓ DỮ LIỆU")</x:f>
        <x:v>ĐÃ CÓ DỮ LIỆU</x:v>
      </x:c>
      <x:c r="N40" s="33" t="str">
        <x:f>IF(AND(B40="",E40=""),"",IF(A40="","THIẾU ID",IF(COUNTIF($A$8:$A$80,A40)&gt;1,"TRÙNG ID",IF(COUNTIF(HANG_MUC!$A$6:$A$50,B40)=0,"SAI HẠNG MỤC","OK"))))</x:f>
        <x:v>OK</x:v>
      </x:c>
    </x:row>
    <x:row r="41">
      <x:c r="A41" s="33" t="str">
        <x:f>IF(OR(B41="",D41=""),"",B41&amp;"-"&amp;IF(OR(C41="",C41="-"),"X",UPPER(C41))&amp;"-"&amp;TEXT(D41,"00"))</x:f>
        <x:v>BOI-NU45-50-X-08</x:v>
      </x:c>
      <x:c r="B41" s="26" t="str">
        <x:v>BOI-NU45-50</x:v>
      </x:c>
      <x:c r="C41" s="26" t="str">
        <x:v>-</x:v>
      </x:c>
      <x:c r="D41" s="35" t="n">
        <x:v>8</x:v>
      </x:c>
      <x:c r="E41" s="28" t="str">
        <x:v>Bùi Nhã Uyên</x:v>
      </x:c>
      <x:c r="F41" s="28" t="str"/>
      <x:c r="G41" s="28" t="str"/>
      <x:c r="H41" s="28" t="str"/>
      <x:c r="I41" s="28" t="str"/>
      <x:c r="J41" s="28" t="str">
        <x:v>PTSC Supply Base</x:v>
      </x:c>
      <x:c r="K41" s="28" t="str"/>
      <x:c r="L41" s="33" t="n">
        <x:v>3</x:v>
      </x:c>
      <x:c r="M41" s="33" t="str">
        <x:f>IF(E41="","CHỜ NHẬP","ĐÃ CÓ DỮ LIỆU")</x:f>
        <x:v>ĐÃ CÓ DỮ LIỆU</x:v>
      </x:c>
      <x:c r="N41" s="33" t="str">
        <x:f>IF(AND(B41="",E41=""),"",IF(A41="","THIẾU ID",IF(COUNTIF($A$8:$A$80,A41)&gt;1,"TRÙNG ID",IF(COUNTIF(HANG_MUC!$A$6:$A$50,B41)=0,"SAI HẠNG MỤC","OK"))))</x:f>
        <x:v>OK</x:v>
      </x:c>
    </x:row>
    <x:row r="42">
      <x:c r="A42" s="33" t="str">
        <x:f>IF(OR(B42="",D42=""),"",B42&amp;"-"&amp;IF(OR(C42="",C42="-"),"X",UPPER(C42))&amp;"-"&amp;TEXT(D42,"00"))</x:f>
        <x:v>BOI-NU45-50-X-09</x:v>
      </x:c>
      <x:c r="B42" s="26" t="str">
        <x:v>BOI-NU45-50</x:v>
      </x:c>
      <x:c r="C42" s="26" t="str">
        <x:v>-</x:v>
      </x:c>
      <x:c r="D42" s="35" t="n">
        <x:v>9</x:v>
      </x:c>
      <x:c r="E42" s="28" t="str">
        <x:v>Đinh Thị Hà Phương</x:v>
      </x:c>
      <x:c r="F42" s="28" t="str"/>
      <x:c r="G42" s="28" t="str"/>
      <x:c r="H42" s="28" t="str"/>
      <x:c r="I42" s="28" t="str"/>
      <x:c r="J42" s="28" t="str">
        <x:v>PPS</x:v>
      </x:c>
      <x:c r="K42" s="28" t="str"/>
      <x:c r="L42" s="33" t="n">
        <x:v>3</x:v>
      </x:c>
      <x:c r="M42" s="33" t="str">
        <x:f>IF(E42="","CHỜ NHẬP","ĐÃ CÓ DỮ LIỆU")</x:f>
        <x:v>ĐÃ CÓ DỮ LIỆU</x:v>
      </x:c>
      <x:c r="N42" s="33" t="str">
        <x:f>IF(AND(B42="",E42=""),"",IF(A42="","THIẾU ID",IF(COUNTIF($A$8:$A$80,A42)&gt;1,"TRÙNG ID",IF(COUNTIF(HANG_MUC!$A$6:$A$50,B42)=0,"SAI HẠNG MỤC","OK"))))</x:f>
        <x:v>OK</x:v>
      </x:c>
    </x:row>
    <x:row r="43">
      <x:c r="A43" s="33" t="str">
        <x:f>IF(OR(B43="",D43=""),"",B43&amp;"-"&amp;IF(OR(C43="",C43="-"),"X",UPPER(C43))&amp;"-"&amp;TEXT(D43,"00"))</x:f>
        <x:v>BOI-NU45-50-X-10</x:v>
      </x:c>
      <x:c r="B43" s="26" t="str">
        <x:v>BOI-NU45-50</x:v>
      </x:c>
      <x:c r="C43" s="26" t="str">
        <x:v>-</x:v>
      </x:c>
      <x:c r="D43" s="35" t="n">
        <x:v>10</x:v>
      </x:c>
      <x:c r="E43" s="28" t="str">
        <x:v>Phan Hoàng Đông Khuê</x:v>
      </x:c>
      <x:c r="F43" s="28" t="str"/>
      <x:c r="G43" s="28" t="str"/>
      <x:c r="H43" s="28" t="str"/>
      <x:c r="I43" s="28" t="str"/>
      <x:c r="J43" s="28" t="str">
        <x:v>PTSC Phú Mỹ</x:v>
      </x:c>
      <x:c r="K43" s="28" t="str"/>
      <x:c r="L43" s="33" t="n">
        <x:v>3</x:v>
      </x:c>
      <x:c r="M43" s="33" t="str">
        <x:f>IF(E43="","CHỜ NHẬP","ĐÃ CÓ DỮ LIỆU")</x:f>
        <x:v>ĐÃ CÓ DỮ LIỆU</x:v>
      </x:c>
      <x:c r="N43" s="33" t="str">
        <x:f>IF(AND(B43="",E43=""),"",IF(A43="","THIẾU ID",IF(COUNTIF($A$8:$A$80,A43)&gt;1,"TRÙNG ID",IF(COUNTIF(HANG_MUC!$A$6:$A$50,B43)=0,"SAI HẠNG MỤC","OK"))))</x:f>
        <x:v>OK</x:v>
      </x:c>
    </x:row>
    <x:row r="44">
      <x:c r="A44" s="33" t="str">
        <x:f>IF(OR(B44="",D44=""),"",B44&amp;"-"&amp;IF(OR(C44="",C44="-"),"X",UPPER(C44))&amp;"-"&amp;TEXT(D44,"00"))</x:f>
        <x:v>BOI-NU45-50-X-11</x:v>
      </x:c>
      <x:c r="B44" s="26" t="str">
        <x:v>BOI-NU45-50</x:v>
      </x:c>
      <x:c r="C44" s="26" t="str">
        <x:v>-</x:v>
      </x:c>
      <x:c r="D44" s="35" t="n">
        <x:v>11</x:v>
      </x:c>
      <x:c r="E44" s="28" t="str">
        <x:v>Lê Bích Thiên Kim</x:v>
      </x:c>
      <x:c r="F44" s="28" t="str"/>
      <x:c r="G44" s="28" t="str"/>
      <x:c r="H44" s="28" t="str"/>
      <x:c r="I44" s="28" t="str"/>
      <x:c r="J44" s="28" t="str">
        <x:v>PTSC Phú Mỹ</x:v>
      </x:c>
      <x:c r="K44" s="28" t="str"/>
      <x:c r="L44" s="33" t="n">
        <x:v>3</x:v>
      </x:c>
      <x:c r="M44" s="33" t="str">
        <x:f>IF(E44="","CHỜ NHẬP","ĐÃ CÓ DỮ LIỆU")</x:f>
        <x:v>ĐÃ CÓ DỮ LIỆU</x:v>
      </x:c>
      <x:c r="N44" s="33" t="str">
        <x:f>IF(AND(B44="",E44=""),"",IF(A44="","THIẾU ID",IF(COUNTIF($A$8:$A$80,A44)&gt;1,"TRÙNG ID",IF(COUNTIF(HANG_MUC!$A$6:$A$50,B44)=0,"SAI HẠNG MỤC","OK"))))</x:f>
        <x:v>OK</x:v>
      </x:c>
    </x:row>
    <x:row r="45">
      <x:c r="A45" s="33" t="str">
        <x:f>IF(OR(B45="",D45=""),"",B45&amp;"-"&amp;IF(OR(C45="",C45="-"),"X",UPPER(C45))&amp;"-"&amp;TEXT(D45,"00"))</x:f>
        <x:v>BOI-NU45-50-X-12</x:v>
      </x:c>
      <x:c r="B45" s="26" t="str">
        <x:v>BOI-NU45-50</x:v>
      </x:c>
      <x:c r="C45" s="26" t="str">
        <x:v>-</x:v>
      </x:c>
      <x:c r="D45" s="35" t="n">
        <x:v>12</x:v>
      </x:c>
      <x:c r="E45" s="28" t="str">
        <x:v>Nguyễn Thị Minh Thu</x:v>
      </x:c>
      <x:c r="F45" s="28" t="str"/>
      <x:c r="G45" s="28" t="str"/>
      <x:c r="H45" s="28" t="str"/>
      <x:c r="I45" s="28" t="str"/>
      <x:c r="J45" s="28" t="str">
        <x:v>PTSC Phú Mỹ</x:v>
      </x:c>
      <x:c r="K45" s="28" t="str"/>
      <x:c r="L45" s="33" t="n">
        <x:v>3</x:v>
      </x:c>
      <x:c r="M45" s="33" t="str">
        <x:f>IF(E45="","CHỜ NHẬP","ĐÃ CÓ DỮ LIỆU")</x:f>
        <x:v>ĐÃ CÓ DỮ LIỆU</x:v>
      </x:c>
      <x:c r="N45" s="33" t="str">
        <x:f>IF(AND(B45="",E45=""),"",IF(A45="","THIẾU ID",IF(COUNTIF($A$8:$A$80,A45)&gt;1,"TRÙNG ID",IF(COUNTIF(HANG_MUC!$A$6:$A$50,B45)=0,"SAI HẠNG MỤC","OK"))))</x:f>
        <x:v>OK</x:v>
      </x:c>
    </x:row>
    <x:row r="46">
      <x:c r="A46" s="33" t="str">
        <x:f>IF(OR(B46="",D46=""),"",B46&amp;"-"&amp;IF(OR(C46="",C46="-"),"X",UPPER(C46))&amp;"-"&amp;TEXT(D46,"00"))</x:f>
        <x:v>BOI-NU45-50-X-13</x:v>
      </x:c>
      <x:c r="B46" s="26" t="str">
        <x:v>BOI-NU45-50</x:v>
      </x:c>
      <x:c r="C46" s="26" t="str">
        <x:v>-</x:v>
      </x:c>
      <x:c r="D46" s="35" t="n">
        <x:v>13</x:v>
      </x:c>
      <x:c r="E46" s="28" t="str">
        <x:v>Nguyễn Thị Chúc</x:v>
      </x:c>
      <x:c r="F46" s="28" t="str"/>
      <x:c r="G46" s="28" t="str"/>
      <x:c r="H46" s="28" t="str"/>
      <x:c r="I46" s="28" t="str"/>
      <x:c r="J46" s="28" t="str">
        <x:v>Chi nhánh PTSC Long Phú</x:v>
      </x:c>
      <x:c r="K46" s="28" t="str"/>
      <x:c r="L46" s="33" t="n">
        <x:v>3</x:v>
      </x:c>
      <x:c r="M46" s="33" t="str">
        <x:f>IF(E46="","CHỜ NHẬP","ĐÃ CÓ DỮ LIỆU")</x:f>
        <x:v>ĐÃ CÓ DỮ LIỆU</x:v>
      </x:c>
      <x:c r="N46" s="33" t="str">
        <x:f>IF(AND(B46="",E46=""),"",IF(A46="","THIẾU ID",IF(COUNTIF($A$8:$A$80,A46)&gt;1,"TRÙNG ID",IF(COUNTIF(HANG_MUC!$A$6:$A$50,B46)=0,"SAI HẠNG MỤC","OK"))))</x:f>
        <x:v>OK</x:v>
      </x:c>
    </x:row>
    <x:row r="47">
      <x:c r="A47" s="33" t="str">
        <x:f>IF(OR(B47="",D47=""),"",B47&amp;"-"&amp;IF(OR(C47="",C47="-"),"X",UPPER(C47))&amp;"-"&amp;TEXT(D47,"00"))</x:f>
        <x:v>BOI-NU45-50-X-14</x:v>
      </x:c>
      <x:c r="B47" s="26" t="str">
        <x:v>BOI-NU45-50</x:v>
      </x:c>
      <x:c r="C47" s="26" t="str">
        <x:v>-</x:v>
      </x:c>
      <x:c r="D47" s="35" t="n">
        <x:v>14</x:v>
      </x:c>
      <x:c r="E47" s="28" t="str">
        <x:v>Phạm Thị Thu Nhung</x:v>
      </x:c>
      <x:c r="F47" s="28" t="str"/>
      <x:c r="G47" s="28" t="str"/>
      <x:c r="H47" s="28" t="str"/>
      <x:c r="I47" s="28" t="str"/>
      <x:c r="J47" s="28" t="str">
        <x:v>PTSC Quảng Ngãi</x:v>
      </x:c>
      <x:c r="K47" s="28" t="str"/>
      <x:c r="L47" s="33" t="n">
        <x:v>3</x:v>
      </x:c>
      <x:c r="M47" s="33" t="str">
        <x:f>IF(E47="","CHỜ NHẬP","ĐÃ CÓ DỮ LIỆU")</x:f>
        <x:v>ĐÃ CÓ DỮ LIỆU</x:v>
      </x:c>
      <x:c r="N47" s="33" t="str">
        <x:f>IF(AND(B47="",E47=""),"",IF(A47="","THIẾU ID",IF(COUNTIF($A$8:$A$80,A47)&gt;1,"TRÙNG ID",IF(COUNTIF(HANG_MUC!$A$6:$A$50,B47)=0,"SAI HẠNG MỤC","OK"))))</x:f>
        <x:v>OK</x:v>
      </x:c>
    </x:row>
    <x:row r="48">
      <x:c r="A48" s="33" t="str">
        <x:f>IF(OR(B48="",D48=""),"",B48&amp;"-"&amp;IF(OR(C48="",C48="-"),"X",UPPER(C48))&amp;"-"&amp;TEXT(D48,"00"))</x:f>
        <x:v>BOI-NU45-50-X-15</x:v>
      </x:c>
      <x:c r="B48" s="26" t="str">
        <x:v>BOI-NU45-50</x:v>
      </x:c>
      <x:c r="C48" s="26" t="str">
        <x:v>-</x:v>
      </x:c>
      <x:c r="D48" s="35" t="n">
        <x:v>15</x:v>
      </x:c>
      <x:c r="E48" s="28" t="str">
        <x:v>Trần Thị Mơ</x:v>
      </x:c>
      <x:c r="F48" s="28" t="str"/>
      <x:c r="G48" s="28" t="str"/>
      <x:c r="H48" s="28" t="str"/>
      <x:c r="I48" s="28" t="str"/>
      <x:c r="J48" s="28" t="str">
        <x:v>PTSC Quảng Ngãi</x:v>
      </x:c>
      <x:c r="K48" s="28" t="str"/>
      <x:c r="L48" s="33" t="n">
        <x:v>3</x:v>
      </x:c>
      <x:c r="M48" s="33" t="str">
        <x:f>IF(E48="","CHỜ NHẬP","ĐÃ CÓ DỮ LIỆU")</x:f>
        <x:v>ĐÃ CÓ DỮ LIỆU</x:v>
      </x:c>
      <x:c r="N48" s="33" t="str">
        <x:f>IF(AND(B48="",E48=""),"",IF(A48="","THIẾU ID",IF(COUNTIF($A$8:$A$80,A48)&gt;1,"TRÙNG ID",IF(COUNTIF(HANG_MUC!$A$6:$A$50,B48)=0,"SAI HẠNG MỤC","OK"))))</x:f>
        <x:v>OK</x:v>
      </x:c>
    </x:row>
    <x:row r="49">
      <x:c r="A49" s="33" t="str">
        <x:f>IF(OR(B49="",D49=""),"",B49&amp;"-"&amp;IF(OR(C49="",C49="-"),"X",UPPER(C49))&amp;"-"&amp;TEXT(D49,"00"))</x:f>
        <x:v>BOI-NU45-50-X-16</x:v>
      </x:c>
      <x:c r="B49" s="26" t="str">
        <x:v>BOI-NU45-50</x:v>
      </x:c>
      <x:c r="C49" s="26" t="str">
        <x:v>-</x:v>
      </x:c>
      <x:c r="D49" s="35" t="n">
        <x:v>16</x:v>
      </x:c>
      <x:c r="E49" s="28" t="str">
        <x:v>Trần Thị Kim Dung</x:v>
      </x:c>
      <x:c r="F49" s="28" t="str"/>
      <x:c r="G49" s="28" t="str"/>
      <x:c r="H49" s="28" t="str"/>
      <x:c r="I49" s="28" t="str"/>
      <x:c r="J49" s="28" t="str">
        <x:v>PTSC Quảng Ngãi</x:v>
      </x:c>
      <x:c r="K49" s="28" t="str"/>
      <x:c r="L49" s="33" t="n">
        <x:v>3</x:v>
      </x:c>
      <x:c r="M49" s="33" t="str">
        <x:f>IF(E49="","CHỜ NHẬP","ĐÃ CÓ DỮ LIỆU")</x:f>
        <x:v>ĐÃ CÓ DỮ LIỆU</x:v>
      </x:c>
      <x:c r="N49" s="33" t="str">
        <x:f>IF(AND(B49="",E49=""),"",IF(A49="","THIẾU ID",IF(COUNTIF($A$8:$A$80,A49)&gt;1,"TRÙNG ID",IF(COUNTIF(HANG_MUC!$A$6:$A$50,B49)=0,"SAI HẠNG MỤC","OK"))))</x:f>
        <x:v>OK</x:v>
      </x:c>
    </x:row>
    <x:row r="50">
      <x:c r="A50" s="33" t="str">
        <x:f>IF(OR(B50="",D50=""),"",B50&amp;"-"&amp;IF(OR(C50="",C50="-"),"X",UPPER(C50))&amp;"-"&amp;TEXT(D50,"00"))</x:f>
        <x:v>BOI-NU45-50-X-17</x:v>
      </x:c>
      <x:c r="B50" s="26" t="str">
        <x:v>BOI-NU45-50</x:v>
      </x:c>
      <x:c r="C50" s="26" t="str">
        <x:v>-</x:v>
      </x:c>
      <x:c r="D50" s="35" t="n">
        <x:v>17</x:v>
      </x:c>
      <x:c r="E50" s="28" t="str">
        <x:v>Đoàn Thị Thu Huyền</x:v>
      </x:c>
      <x:c r="F50" s="28" t="str"/>
      <x:c r="G50" s="28" t="str"/>
      <x:c r="H50" s="28" t="str"/>
      <x:c r="I50" s="28" t="str"/>
      <x:c r="J50" s="28" t="str">
        <x:v>PTSC Miền Trung</x:v>
      </x:c>
      <x:c r="K50" s="28" t="str"/>
      <x:c r="L50" s="33" t="n">
        <x:v>3</x:v>
      </x:c>
      <x:c r="M50" s="33" t="str">
        <x:f>IF(E50="","CHỜ NHẬP","ĐÃ CÓ DỮ LIỆU")</x:f>
        <x:v>ĐÃ CÓ DỮ LIỆU</x:v>
      </x:c>
      <x:c r="N50" s="33" t="str">
        <x:f>IF(AND(B50="",E50=""),"",IF(A50="","THIẾU ID",IF(COUNTIF($A$8:$A$80,A50)&gt;1,"TRÙNG ID",IF(COUNTIF(HANG_MUC!$A$6:$A$50,B50)=0,"SAI HẠNG MỤC","OK"))))</x:f>
        <x:v>OK</x:v>
      </x:c>
    </x:row>
    <x:row r="51">
      <x:c r="A51" s="33" t="str">
        <x:f>IF(OR(B51="",D51=""),"",B51&amp;"-"&amp;IF(OR(C51="",C51="-"),"X",UPPER(C51))&amp;"-"&amp;TEXT(D51,"00"))</x:f>
        <x:v>BOI-NU45-50-X-18</x:v>
      </x:c>
      <x:c r="B51" s="26" t="str">
        <x:v>BOI-NU45-50</x:v>
      </x:c>
      <x:c r="C51" s="26" t="str">
        <x:v>-</x:v>
      </x:c>
      <x:c r="D51" s="35" t="n">
        <x:v>18</x:v>
      </x:c>
      <x:c r="E51" s="28" t="str">
        <x:v>Cao Thị Chung</x:v>
      </x:c>
      <x:c r="F51" s="28" t="str"/>
      <x:c r="G51" s="28" t="str"/>
      <x:c r="H51" s="28" t="str"/>
      <x:c r="I51" s="28" t="str"/>
      <x:c r="J51" s="28" t="str">
        <x:v>PTSC Thanh Hóa</x:v>
      </x:c>
      <x:c r="K51" s="28" t="str"/>
      <x:c r="L51" s="33" t="n">
        <x:v>3</x:v>
      </x:c>
      <x:c r="M51" s="33" t="str">
        <x:f>IF(E51="","CHỜ NHẬP","ĐÃ CÓ DỮ LIỆU")</x:f>
        <x:v>ĐÃ CÓ DỮ LIỆU</x:v>
      </x:c>
      <x:c r="N51" s="33" t="str">
        <x:f>IF(AND(B51="",E51=""),"",IF(A51="","THIẾU ID",IF(COUNTIF($A$8:$A$80,A51)&gt;1,"TRÙNG ID",IF(COUNTIF(HANG_MUC!$A$6:$A$50,B51)=0,"SAI HẠNG MỤC","OK"))))</x:f>
        <x:v>OK</x:v>
      </x:c>
    </x:row>
    <x:row r="52">
      <x:c r="A52" s="33" t="str">
        <x:f>IF(OR(B52="",D52=""),"",B52&amp;"-"&amp;IF(OR(C52="",C52="-"),"X",UPPER(C52))&amp;"-"&amp;TEXT(D52,"00"))</x:f>
        <x:v>BOI-NU45-50-X-19</x:v>
      </x:c>
      <x:c r="B52" s="26" t="str">
        <x:v>BOI-NU45-50</x:v>
      </x:c>
      <x:c r="C52" s="26" t="str">
        <x:v>-</x:v>
      </x:c>
      <x:c r="D52" s="35" t="n">
        <x:v>19</x:v>
      </x:c>
      <x:c r="E52" s="28" t="str">
        <x:v>Tống Lê Khánh Linh</x:v>
      </x:c>
      <x:c r="F52" s="28" t="str"/>
      <x:c r="G52" s="28" t="str"/>
      <x:c r="H52" s="28" t="str"/>
      <x:c r="I52" s="28" t="str"/>
      <x:c r="J52" s="28" t="str">
        <x:v>PTSC Thanh Hóa</x:v>
      </x:c>
      <x:c r="K52" s="28" t="str"/>
      <x:c r="L52" s="33" t="n">
        <x:v>3</x:v>
      </x:c>
      <x:c r="M52" s="33" t="str">
        <x:f>IF(E52="","CHỜ NHẬP","ĐÃ CÓ DỮ LIỆU")</x:f>
        <x:v>ĐÃ CÓ DỮ LIỆU</x:v>
      </x:c>
      <x:c r="N52" s="33" t="str">
        <x:f>IF(AND(B52="",E52=""),"",IF(A52="","THIẾU ID",IF(COUNTIF($A$8:$A$80,A52)&gt;1,"TRÙNG ID",IF(COUNTIF(HANG_MUC!$A$6:$A$50,B52)=0,"SAI HẠNG MỤC","OK"))))</x:f>
        <x:v>OK</x:v>
      </x:c>
    </x:row>
    <x:row r="53">
      <x:c r="A53" s="33" t="str">
        <x:f>IF(OR(B53="",D53=""),"",B53&amp;"-"&amp;IF(OR(C53="",C53="-"),"X",UPPER(C53))&amp;"-"&amp;TEXT(D53,"00"))</x:f>
        <x:v>BOI-NU45-50-X-20</x:v>
      </x:c>
      <x:c r="B53" s="26" t="str">
        <x:v>BOI-NU45-50</x:v>
      </x:c>
      <x:c r="C53" s="26" t="str">
        <x:v>-</x:v>
      </x:c>
      <x:c r="D53" s="35" t="n">
        <x:v>20</x:v>
      </x:c>
      <x:c r="E53" s="28" t="str">
        <x:v>Bùi Thị Thanh Vân</x:v>
      </x:c>
      <x:c r="F53" s="28" t="str"/>
      <x:c r="G53" s="28" t="str"/>
      <x:c r="H53" s="28" t="str"/>
      <x:c r="I53" s="28" t="str"/>
      <x:c r="J53" s="28" t="str">
        <x:v>PTSC Marine</x:v>
      </x:c>
      <x:c r="K53" s="28" t="str"/>
      <x:c r="L53" s="33" t="n">
        <x:v>3</x:v>
      </x:c>
      <x:c r="M53" s="33" t="str">
        <x:f>IF(E53="","CHỜ NHẬP","ĐÃ CÓ DỮ LIỆU")</x:f>
        <x:v>ĐÃ CÓ DỮ LIỆU</x:v>
      </x:c>
      <x:c r="N53" s="33" t="str">
        <x:f>IF(AND(B53="",E53=""),"",IF(A53="","THIẾU ID",IF(COUNTIF($A$8:$A$80,A53)&gt;1,"TRÙNG ID",IF(COUNTIF(HANG_MUC!$A$6:$A$50,B53)=0,"SAI HẠNG MỤC","OK"))))</x:f>
        <x:v>OK</x:v>
      </x:c>
    </x:row>
    <x:row r="54">
      <x:c r="A54" s="33" t="str">
        <x:f>IF(OR(B54="",D54=""),"",B54&amp;"-"&amp;IF(OR(C54="",C54="-"),"X",UPPER(C54))&amp;"-"&amp;TEXT(D54,"00"))</x:f>
        <x:v>BOI-NU45-50-X-21</x:v>
      </x:c>
      <x:c r="B54" s="26" t="str">
        <x:v>BOI-NU45-50</x:v>
      </x:c>
      <x:c r="C54" s="26" t="str">
        <x:v>-</x:v>
      </x:c>
      <x:c r="D54" s="35" t="n">
        <x:v>21</x:v>
      </x:c>
      <x:c r="E54" s="28" t="str">
        <x:v>Trần Nguyệt Minh</x:v>
      </x:c>
      <x:c r="F54" s="28" t="str"/>
      <x:c r="G54" s="28" t="str"/>
      <x:c r="H54" s="28" t="str"/>
      <x:c r="I54" s="28" t="str"/>
      <x:c r="J54" s="28" t="str">
        <x:v>PTSC Marine</x:v>
      </x:c>
      <x:c r="K54" s="28" t="str"/>
      <x:c r="L54" s="33" t="n">
        <x:v>3</x:v>
      </x:c>
      <x:c r="M54" s="33" t="str">
        <x:f>IF(E54="","CHỜ NHẬP","ĐÃ CÓ DỮ LIỆU")</x:f>
        <x:v>ĐÃ CÓ DỮ LIỆU</x:v>
      </x:c>
      <x:c r="N54" s="33" t="str">
        <x:f>IF(AND(B54="",E54=""),"",IF(A54="","THIẾU ID",IF(COUNTIF($A$8:$A$80,A54)&gt;1,"TRÙNG ID",IF(COUNTIF(HANG_MUC!$A$6:$A$50,B54)=0,"SAI HẠNG MỤC","OK"))))</x:f>
        <x:v>OK</x:v>
      </x:c>
    </x:row>
    <x:row r="55">
      <x:c r="A55" s="33" t="str">
        <x:f>IF(OR(B55="",D55=""),"",B55&amp;"-"&amp;IF(OR(C55="",C55="-"),"X",UPPER(C55))&amp;"-"&amp;TEXT(D55,"00"))</x:f>
        <x:v>BOI-NU45-50-X-22</x:v>
      </x:c>
      <x:c r="B55" s="26" t="str">
        <x:v>BOI-NU45-50</x:v>
      </x:c>
      <x:c r="C55" s="26" t="str">
        <x:v>-</x:v>
      </x:c>
      <x:c r="D55" s="35" t="n">
        <x:v>22</x:v>
      </x:c>
      <x:c r="E55" s="28" t="str">
        <x:v>Tạ Phương Anh</x:v>
      </x:c>
      <x:c r="F55" s="28" t="str"/>
      <x:c r="G55" s="28" t="str"/>
      <x:c r="H55" s="28" t="str"/>
      <x:c r="I55" s="28" t="str"/>
      <x:c r="J55" s="28" t="str">
        <x:v>PTSC Marine</x:v>
      </x:c>
      <x:c r="K55" s="28" t="str"/>
      <x:c r="L55" s="33" t="n">
        <x:v>3</x:v>
      </x:c>
      <x:c r="M55" s="33" t="str">
        <x:f>IF(E55="","CHỜ NHẬP","ĐÃ CÓ DỮ LIỆU")</x:f>
        <x:v>ĐÃ CÓ DỮ LIỆU</x:v>
      </x:c>
      <x:c r="N55" s="33" t="str">
        <x:f>IF(AND(B55="",E55=""),"",IF(A55="","THIẾU ID",IF(COUNTIF($A$8:$A$80,A55)&gt;1,"TRÙNG ID",IF(COUNTIF(HANG_MUC!$A$6:$A$50,B55)=0,"SAI HẠNG MỤC","OK"))))</x:f>
        <x:v>OK</x:v>
      </x:c>
    </x:row>
    <x:row r="56">
      <x:c r="A56" s="33" t="str">
        <x:f>IF(OR(B56="",D56=""),"",B56&amp;"-"&amp;IF(OR(C56="",C56="-"),"X",UPPER(C56))&amp;"-"&amp;TEXT(D56,"00"))</x:f>
        <x:v>BOI-NU45-50-X-23</x:v>
      </x:c>
      <x:c r="B56" s="26" t="str">
        <x:v>BOI-NU45-50</x:v>
      </x:c>
      <x:c r="C56" s="26" t="str">
        <x:v>-</x:v>
      </x:c>
      <x:c r="D56" s="35" t="n">
        <x:v>23</x:v>
      </x:c>
      <x:c r="E56" s="28" t="str">
        <x:v>Lữ Thị Nhung</x:v>
      </x:c>
      <x:c r="F56" s="28" t="str"/>
      <x:c r="G56" s="28" t="str"/>
      <x:c r="H56" s="28" t="str"/>
      <x:c r="I56" s="28" t="str"/>
      <x:c r="J56" s="28" t="str">
        <x:v>POS</x:v>
      </x:c>
      <x:c r="K56" s="28" t="str"/>
      <x:c r="L56" s="33" t="n">
        <x:v>3</x:v>
      </x:c>
      <x:c r="M56" s="33" t="str">
        <x:f>IF(E56="","CHỜ NHẬP","ĐÃ CÓ DỮ LIỆU")</x:f>
        <x:v>ĐÃ CÓ DỮ LIỆU</x:v>
      </x:c>
      <x:c r="N56" s="33" t="str">
        <x:f>IF(AND(B56="",E56=""),"",IF(A56="","THIẾU ID",IF(COUNTIF($A$8:$A$80,A56)&gt;1,"TRÙNG ID",IF(COUNTIF(HANG_MUC!$A$6:$A$50,B56)=0,"SAI HẠNG MỤC","OK"))))</x:f>
        <x:v>OK</x:v>
      </x:c>
    </x:row>
    <x:row r="57">
      <x:c r="A57" s="33" t="str">
        <x:f>IF(OR(B57="",D57=""),"",B57&amp;"-"&amp;IF(OR(C57="",C57="-"),"X",UPPER(C57))&amp;"-"&amp;TEXT(D57,"00"))</x:f>
        <x:v>BOI-DONGDOI-NAM-200-X-01</x:v>
      </x:c>
      <x:c r="B57" s="26" t="str">
        <x:v>BOI-DONGDOI-NAM-200</x:v>
      </x:c>
      <x:c r="C57" s="26" t="str">
        <x:v>-</x:v>
      </x:c>
      <x:c r="D57" s="35" t="n">
        <x:v>1</x:v>
      </x:c>
      <x:c r="E57" s="28" t="str">
        <x:v>Đỗ Minh Đức</x:v>
      </x:c>
      <x:c r="F57" s="28" t="str">
        <x:v>Võ Hữu Dũng</x:v>
      </x:c>
      <x:c r="G57" s="28" t="str">
        <x:v>Bùi Tá Phông</x:v>
      </x:c>
      <x:c r="H57" s="28" t="str">
        <x:v>Đặng Minh Khôi</x:v>
      </x:c>
      <x:c r="I57" s="28" t="str"/>
      <x:c r="J57" s="28" t="str">
        <x:v>PTSC HQ</x:v>
      </x:c>
      <x:c r="K57" s="28" t="str"/>
      <x:c r="L57" s="33" t="n">
        <x:v>4</x:v>
      </x:c>
      <x:c r="M57" s="33" t="str">
        <x:f>IF(E57="","CHỜ NHẬP","ĐÃ CÓ DỮ LIỆU")</x:f>
        <x:v>ĐÃ CÓ DỮ LIỆU</x:v>
      </x:c>
      <x:c r="N57" s="33" t="str">
        <x:f>IF(AND(B57="",E57=""),"",IF(A57="","THIẾU ID",IF(COUNTIF($A$8:$A$80,A57)&gt;1,"TRÙNG ID",IF(COUNTIF(HANG_MUC!$A$6:$A$50,B57)=0,"SAI HẠNG MỤC","OK"))))</x:f>
        <x:v>OK</x:v>
      </x:c>
    </x:row>
    <x:row r="58">
      <x:c r="A58" s="33" t="str">
        <x:f>IF(OR(B58="",D58=""),"",B58&amp;"-"&amp;IF(OR(C58="",C58="-"),"X",UPPER(C58))&amp;"-"&amp;TEXT(D58,"00"))</x:f>
        <x:v>BOI-DONGDOI-NAM-200-X-02</x:v>
      </x:c>
      <x:c r="B58" s="26" t="str">
        <x:v>BOI-DONGDOI-NAM-200</x:v>
      </x:c>
      <x:c r="C58" s="26" t="str">
        <x:v>-</x:v>
      </x:c>
      <x:c r="D58" s="35" t="n">
        <x:v>2</x:v>
      </x:c>
      <x:c r="E58" s="28" t="str">
        <x:v>Nguyễn Mai Nam</x:v>
      </x:c>
      <x:c r="F58" s="28" t="str">
        <x:v>Trịnh Xuân Cảnh</x:v>
      </x:c>
      <x:c r="G58" s="28" t="str">
        <x:v>Bùi Sĩ Hồi</x:v>
      </x:c>
      <x:c r="H58" s="28" t="str">
        <x:v>Trần Xuân Chánh</x:v>
      </x:c>
      <x:c r="I58" s="28" t="str">
        <x:v>Nguyễn Công Khiên; Thạch Ngọc Hóa; Phạm Văn Đương</x:v>
      </x:c>
      <x:c r="J58" s="28" t="str">
        <x:v>PTSC M&amp;C</x:v>
      </x:c>
      <x:c r="K58" s="28" t="str"/>
      <x:c r="L58" s="33" t="n">
        <x:v>4</x:v>
      </x:c>
      <x:c r="M58" s="33" t="str">
        <x:f>IF(E58="","CHỜ NHẬP","ĐÃ CÓ DỮ LIỆU")</x:f>
        <x:v>ĐÃ CÓ DỮ LIỆU</x:v>
      </x:c>
      <x:c r="N58" s="33" t="str">
        <x:f>IF(AND(B58="",E58=""),"",IF(A58="","THIẾU ID",IF(COUNTIF($A$8:$A$80,A58)&gt;1,"TRÙNG ID",IF(COUNTIF(HANG_MUC!$A$6:$A$50,B58)=0,"SAI HẠNG MỤC","OK"))))</x:f>
        <x:v>OK</x:v>
      </x:c>
    </x:row>
    <x:row r="59">
      <x:c r="A59" s="33" t="str">
        <x:f>IF(OR(B59="",D59=""),"",B59&amp;"-"&amp;IF(OR(C59="",C59="-"),"X",UPPER(C59))&amp;"-"&amp;TEXT(D59,"00"))</x:f>
        <x:v>BOI-DONGDOI-NAM-200-X-03</x:v>
      </x:c>
      <x:c r="B59" s="26" t="str">
        <x:v>BOI-DONGDOI-NAM-200</x:v>
      </x:c>
      <x:c r="C59" s="26" t="str">
        <x:v>-</x:v>
      </x:c>
      <x:c r="D59" s="35" t="n">
        <x:v>3</x:v>
      </x:c>
      <x:c r="E59" s="28" t="str">
        <x:v>Võ Duy Tùng</x:v>
      </x:c>
      <x:c r="F59" s="28" t="str">
        <x:v>Lê Thanh Đạt</x:v>
      </x:c>
      <x:c r="G59" s="28" t="str">
        <x:v>Tăng Văn Cường</x:v>
      </x:c>
      <x:c r="H59" s="28" t="str">
        <x:v>Võ Xuân Trí</x:v>
      </x:c>
      <x:c r="I59" s="28" t="str"/>
      <x:c r="J59" s="28" t="str">
        <x:v>PTSC Quảng Ngãi</x:v>
      </x:c>
      <x:c r="K59" s="28" t="str"/>
      <x:c r="L59" s="33" t="n">
        <x:v>4</x:v>
      </x:c>
      <x:c r="M59" s="33" t="str">
        <x:f>IF(E59="","CHỜ NHẬP","ĐÃ CÓ DỮ LIỆU")</x:f>
        <x:v>ĐÃ CÓ DỮ LIỆU</x:v>
      </x:c>
      <x:c r="N59" s="33" t="str">
        <x:f>IF(AND(B59="",E59=""),"",IF(A59="","THIẾU ID",IF(COUNTIF($A$8:$A$80,A59)&gt;1,"TRÙNG ID",IF(COUNTIF(HANG_MUC!$A$6:$A$50,B59)=0,"SAI HẠNG MỤC","OK"))))</x:f>
        <x:v>OK</x:v>
      </x:c>
    </x:row>
    <x:row r="60">
      <x:c r="A60" s="33" t="str">
        <x:f>IF(OR(B60="",D60=""),"",B60&amp;"-"&amp;IF(OR(C60="",C60="-"),"X",UPPER(C60))&amp;"-"&amp;TEXT(D60,"00"))</x:f>
        <x:v>BOI-DONGDOI-NAM-200-X-04</x:v>
      </x:c>
      <x:c r="B60" s="26" t="str">
        <x:v>BOI-DONGDOI-NAM-200</x:v>
      </x:c>
      <x:c r="C60" s="26" t="str">
        <x:v>-</x:v>
      </x:c>
      <x:c r="D60" s="35" t="n">
        <x:v>4</x:v>
      </x:c>
      <x:c r="E60" s="28" t="str">
        <x:v>Phạm Đăng Lâm</x:v>
      </x:c>
      <x:c r="F60" s="28" t="str">
        <x:v>Bằng Văn Hùng</x:v>
      </x:c>
      <x:c r="G60" s="28" t="str">
        <x:v>Lưu Trần Đại Vương</x:v>
      </x:c>
      <x:c r="H60" s="28" t="str">
        <x:v>Nguyễn Viết Ước</x:v>
      </x:c>
      <x:c r="I60" s="28" t="str"/>
      <x:c r="J60" s="28" t="str">
        <x:v>PTSC Thanh Hóa</x:v>
      </x:c>
      <x:c r="K60" s="28" t="str"/>
      <x:c r="L60" s="33" t="n">
        <x:v>4</x:v>
      </x:c>
      <x:c r="M60" s="33" t="str">
        <x:f>IF(E60="","CHỜ NHẬP","ĐÃ CÓ DỮ LIỆU")</x:f>
        <x:v>ĐÃ CÓ DỮ LIỆU</x:v>
      </x:c>
      <x:c r="N60" s="33" t="str">
        <x:f>IF(AND(B60="",E60=""),"",IF(A60="","THIẾU ID",IF(COUNTIF($A$8:$A$80,A60)&gt;1,"TRÙNG ID",IF(COUNTIF(HANG_MUC!$A$6:$A$50,B60)=0,"SAI HẠNG MỤC","OK"))))</x:f>
        <x:v>OK</x:v>
      </x:c>
    </x:row>
    <x:row r="61">
      <x:c r="A61" s="33" t="str">
        <x:f>IF(OR(B61="",D61=""),"",B61&amp;"-"&amp;IF(OR(C61="",C61="-"),"X",UPPER(C61))&amp;"-"&amp;TEXT(D61,"00"))</x:f>
      </x:c>
      <x:c r="B61" s="26"/>
      <x:c r="C61" s="26"/>
      <x:c r="D61" s="35"/>
      <x:c r="E61" s="28"/>
      <x:c r="F61" s="28"/>
      <x:c r="G61" s="28"/>
      <x:c r="H61" s="28"/>
      <x:c r="I61" s="28"/>
      <x:c r="J61" s="28"/>
      <x:c r="K61" s="28"/>
      <x:c r="L61" s="33"/>
      <x:c r="M61" s="33" t="str">
        <x:f>IF(E61="","CHỜ NHẬP","ĐÃ CÓ DỮ LIỆU")</x:f>
        <x:v>CHỜ NHẬP</x:v>
      </x:c>
      <x:c r="N61" s="33" t="str">
        <x:f>IF(AND(B61="",E61=""),"",IF(A61="","THIẾU ID",IF(COUNTIF($A$8:$A$80,A61)&gt;1,"TRÙNG ID",IF(COUNTIF(HANG_MUC!$A$6:$A$50,B61)=0,"SAI HẠNG MỤC","OK"))))</x:f>
      </x:c>
    </x:row>
    <x:row r="62">
      <x:c r="A62" s="33" t="str">
        <x:f>IF(OR(B62="",D62=""),"",B62&amp;"-"&amp;IF(OR(C62="",C62="-"),"X",UPPER(C62))&amp;"-"&amp;TEXT(D62,"00"))</x:f>
      </x:c>
      <x:c r="B62" s="26"/>
      <x:c r="C62" s="26"/>
      <x:c r="D62" s="35"/>
      <x:c r="E62" s="28"/>
      <x:c r="F62" s="28"/>
      <x:c r="G62" s="28"/>
      <x:c r="H62" s="28"/>
      <x:c r="I62" s="28"/>
      <x:c r="J62" s="28"/>
      <x:c r="K62" s="28"/>
      <x:c r="L62" s="33"/>
      <x:c r="M62" s="33" t="str">
        <x:f>IF(E62="","CHỜ NHẬP","ĐÃ CÓ DỮ LIỆU")</x:f>
        <x:v>CHỜ NHẬP</x:v>
      </x:c>
      <x:c r="N62" s="33" t="str">
        <x:f>IF(AND(B62="",E62=""),"",IF(A62="","THIẾU ID",IF(COUNTIF($A$8:$A$80,A62)&gt;1,"TRÙNG ID",IF(COUNTIF(HANG_MUC!$A$6:$A$50,B62)=0,"SAI HẠNG MỤC","OK"))))</x:f>
      </x:c>
    </x:row>
    <x:row r="63">
      <x:c r="A63" s="33" t="str">
        <x:f>IF(OR(B63="",D63=""),"",B63&amp;"-"&amp;IF(OR(C63="",C63="-"),"X",UPPER(C63))&amp;"-"&amp;TEXT(D63,"00"))</x:f>
      </x:c>
      <x:c r="B63" s="26"/>
      <x:c r="C63" s="26"/>
      <x:c r="D63" s="35"/>
      <x:c r="E63" s="28"/>
      <x:c r="F63" s="28"/>
      <x:c r="G63" s="28"/>
      <x:c r="H63" s="28"/>
      <x:c r="I63" s="28"/>
      <x:c r="J63" s="28"/>
      <x:c r="K63" s="28"/>
      <x:c r="L63" s="33"/>
      <x:c r="M63" s="33" t="str">
        <x:f>IF(E63="","CHỜ NHẬP","ĐÃ CÓ DỮ LIỆU")</x:f>
        <x:v>CHỜ NHẬP</x:v>
      </x:c>
      <x:c r="N63" s="33" t="str">
        <x:f>IF(AND(B63="",E63=""),"",IF(A63="","THIẾU ID",IF(COUNTIF($A$8:$A$80,A63)&gt;1,"TRÙNG ID",IF(COUNTIF(HANG_MUC!$A$6:$A$50,B63)=0,"SAI HẠNG MỤC","OK"))))</x:f>
      </x:c>
    </x:row>
    <x:row r="64">
      <x:c r="A64" s="33" t="str">
        <x:f>IF(OR(B64="",D64=""),"",B64&amp;"-"&amp;IF(OR(C64="",C64="-"),"X",UPPER(C64))&amp;"-"&amp;TEXT(D64,"00"))</x:f>
      </x:c>
      <x:c r="B64" s="26"/>
      <x:c r="C64" s="26"/>
      <x:c r="D64" s="35"/>
      <x:c r="E64" s="28"/>
      <x:c r="F64" s="28"/>
      <x:c r="G64" s="28"/>
      <x:c r="H64" s="28"/>
      <x:c r="I64" s="28"/>
      <x:c r="J64" s="28"/>
      <x:c r="K64" s="28"/>
      <x:c r="L64" s="33"/>
      <x:c r="M64" s="33" t="str">
        <x:f>IF(E64="","CHỜ NHẬP","ĐÃ CÓ DỮ LIỆU")</x:f>
        <x:v>CHỜ NHẬP</x:v>
      </x:c>
      <x:c r="N64" s="33" t="str">
        <x:f>IF(AND(B64="",E64=""),"",IF(A64="","THIẾU ID",IF(COUNTIF($A$8:$A$80,A64)&gt;1,"TRÙNG ID",IF(COUNTIF(HANG_MUC!$A$6:$A$50,B64)=0,"SAI HẠNG MỤC","OK"))))</x:f>
      </x:c>
    </x:row>
    <x:row r="65">
      <x:c r="A65" s="33" t="str">
        <x:f>IF(OR(B65="",D65=""),"",B65&amp;"-"&amp;IF(OR(C65="",C65="-"),"X",UPPER(C65))&amp;"-"&amp;TEXT(D65,"00"))</x:f>
      </x:c>
      <x:c r="B65" s="26"/>
      <x:c r="C65" s="26"/>
      <x:c r="D65" s="35"/>
      <x:c r="E65" s="28"/>
      <x:c r="F65" s="28"/>
      <x:c r="G65" s="28"/>
      <x:c r="H65" s="28"/>
      <x:c r="I65" s="28"/>
      <x:c r="J65" s="28"/>
      <x:c r="K65" s="28"/>
      <x:c r="L65" s="33"/>
      <x:c r="M65" s="33" t="str">
        <x:f>IF(E65="","CHỜ NHẬP","ĐÃ CÓ DỮ LIỆU")</x:f>
        <x:v>CHỜ NHẬP</x:v>
      </x:c>
      <x:c r="N65" s="33" t="str">
        <x:f>IF(AND(B65="",E65=""),"",IF(A65="","THIẾU ID",IF(COUNTIF($A$8:$A$80,A65)&gt;1,"TRÙNG ID",IF(COUNTIF(HANG_MUC!$A$6:$A$50,B65)=0,"SAI HẠNG MỤC","OK"))))</x:f>
      </x:c>
    </x:row>
    <x:row r="66">
      <x:c r="A66" s="33" t="str">
        <x:f>IF(OR(B66="",D66=""),"",B66&amp;"-"&amp;IF(OR(C66="",C66="-"),"X",UPPER(C66))&amp;"-"&amp;TEXT(D66,"00"))</x:f>
      </x:c>
      <x:c r="B66" s="26"/>
      <x:c r="C66" s="26"/>
      <x:c r="D66" s="35"/>
      <x:c r="E66" s="28"/>
      <x:c r="F66" s="28"/>
      <x:c r="G66" s="28"/>
      <x:c r="H66" s="28"/>
      <x:c r="I66" s="28"/>
      <x:c r="J66" s="28"/>
      <x:c r="K66" s="28"/>
      <x:c r="L66" s="33"/>
      <x:c r="M66" s="33" t="str">
        <x:f>IF(E66="","CHỜ NHẬP","ĐÃ CÓ DỮ LIỆU")</x:f>
        <x:v>CHỜ NHẬP</x:v>
      </x:c>
      <x:c r="N66" s="33" t="str">
        <x:f>IF(AND(B66="",E66=""),"",IF(A66="","THIẾU ID",IF(COUNTIF($A$8:$A$80,A66)&gt;1,"TRÙNG ID",IF(COUNTIF(HANG_MUC!$A$6:$A$50,B66)=0,"SAI HẠNG MỤC","OK"))))</x:f>
      </x:c>
    </x:row>
    <x:row r="67">
      <x:c r="A67" s="33" t="str">
        <x:f>IF(OR(B67="",D67=""),"",B67&amp;"-"&amp;IF(OR(C67="",C67="-"),"X",UPPER(C67))&amp;"-"&amp;TEXT(D67,"00"))</x:f>
      </x:c>
      <x:c r="B67" s="26"/>
      <x:c r="C67" s="26"/>
      <x:c r="D67" s="35"/>
      <x:c r="E67" s="28"/>
      <x:c r="F67" s="28"/>
      <x:c r="G67" s="28"/>
      <x:c r="H67" s="28"/>
      <x:c r="I67" s="28"/>
      <x:c r="J67" s="28"/>
      <x:c r="K67" s="28"/>
      <x:c r="L67" s="33"/>
      <x:c r="M67" s="33" t="str">
        <x:f>IF(E67="","CHỜ NHẬP","ĐÃ CÓ DỮ LIỆU")</x:f>
        <x:v>CHỜ NHẬP</x:v>
      </x:c>
      <x:c r="N67" s="33" t="str">
        <x:f>IF(AND(B67="",E67=""),"",IF(A67="","THIẾU ID",IF(COUNTIF($A$8:$A$80,A67)&gt;1,"TRÙNG ID",IF(COUNTIF(HANG_MUC!$A$6:$A$50,B67)=0,"SAI HẠNG MỤC","OK"))))</x:f>
      </x:c>
    </x:row>
    <x:row r="68">
      <x:c r="A68" s="33" t="str">
        <x:f>IF(OR(B68="",D68=""),"",B68&amp;"-"&amp;IF(OR(C68="",C68="-"),"X",UPPER(C68))&amp;"-"&amp;TEXT(D68,"00"))</x:f>
      </x:c>
      <x:c r="B68" s="26"/>
      <x:c r="C68" s="26"/>
      <x:c r="D68" s="35"/>
      <x:c r="E68" s="28"/>
      <x:c r="F68" s="28"/>
      <x:c r="G68" s="28"/>
      <x:c r="H68" s="28"/>
      <x:c r="I68" s="28"/>
      <x:c r="J68" s="28"/>
      <x:c r="K68" s="28"/>
      <x:c r="L68" s="33"/>
      <x:c r="M68" s="33" t="str">
        <x:f>IF(E68="","CHỜ NHẬP","ĐÃ CÓ DỮ LIỆU")</x:f>
        <x:v>CHỜ NHẬP</x:v>
      </x:c>
      <x:c r="N68" s="33" t="str">
        <x:f>IF(AND(B68="",E68=""),"",IF(A68="","THIẾU ID",IF(COUNTIF($A$8:$A$80,A68)&gt;1,"TRÙNG ID",IF(COUNTIF(HANG_MUC!$A$6:$A$50,B68)=0,"SAI HẠNG MỤC","OK"))))</x:f>
      </x:c>
    </x:row>
    <x:row r="69">
      <x:c r="A69" s="33" t="str">
        <x:f>IF(OR(B69="",D69=""),"",B69&amp;"-"&amp;IF(OR(C69="",C69="-"),"X",UPPER(C69))&amp;"-"&amp;TEXT(D69,"00"))</x:f>
      </x:c>
      <x:c r="B69" s="26"/>
      <x:c r="C69" s="26"/>
      <x:c r="D69" s="35"/>
      <x:c r="E69" s="28"/>
      <x:c r="F69" s="28"/>
      <x:c r="G69" s="28"/>
      <x:c r="H69" s="28"/>
      <x:c r="I69" s="28"/>
      <x:c r="J69" s="28"/>
      <x:c r="K69" s="28"/>
      <x:c r="L69" s="33"/>
      <x:c r="M69" s="33" t="str">
        <x:f>IF(E69="","CHỜ NHẬP","ĐÃ CÓ DỮ LIỆU")</x:f>
        <x:v>CHỜ NHẬP</x:v>
      </x:c>
      <x:c r="N69" s="33" t="str">
        <x:f>IF(AND(B69="",E69=""),"",IF(A69="","THIẾU ID",IF(COUNTIF($A$8:$A$80,A69)&gt;1,"TRÙNG ID",IF(COUNTIF(HANG_MUC!$A$6:$A$50,B69)=0,"SAI HẠNG MỤC","OK"))))</x:f>
      </x:c>
    </x:row>
    <x:row r="70">
      <x:c r="A70" s="33" t="str">
        <x:f>IF(OR(B70="",D70=""),"",B70&amp;"-"&amp;IF(OR(C70="",C70="-"),"X",UPPER(C70))&amp;"-"&amp;TEXT(D70,"00"))</x:f>
      </x:c>
      <x:c r="B70" s="26"/>
      <x:c r="C70" s="26"/>
      <x:c r="D70" s="35"/>
      <x:c r="E70" s="28"/>
      <x:c r="F70" s="28"/>
      <x:c r="G70" s="28"/>
      <x:c r="H70" s="28"/>
      <x:c r="I70" s="28"/>
      <x:c r="J70" s="28"/>
      <x:c r="K70" s="28"/>
      <x:c r="L70" s="33"/>
      <x:c r="M70" s="33" t="str">
        <x:f>IF(E70="","CHỜ NHẬP","ĐÃ CÓ DỮ LIỆU")</x:f>
        <x:v>CHỜ NHẬP</x:v>
      </x:c>
      <x:c r="N70" s="33" t="str">
        <x:f>IF(AND(B70="",E70=""),"",IF(A70="","THIẾU ID",IF(COUNTIF($A$8:$A$80,A70)&gt;1,"TRÙNG ID",IF(COUNTIF(HANG_MUC!$A$6:$A$50,B70)=0,"SAI HẠNG MỤC","OK"))))</x:f>
      </x:c>
    </x:row>
    <x:row r="71">
      <x:c r="A71" s="33" t="str">
        <x:f>IF(OR(B71="",D71=""),"",B71&amp;"-"&amp;IF(OR(C71="",C71="-"),"X",UPPER(C71))&amp;"-"&amp;TEXT(D71,"00"))</x:f>
      </x:c>
      <x:c r="B71" s="26"/>
      <x:c r="C71" s="26"/>
      <x:c r="D71" s="35"/>
      <x:c r="E71" s="28"/>
      <x:c r="F71" s="28"/>
      <x:c r="G71" s="28"/>
      <x:c r="H71" s="28"/>
      <x:c r="I71" s="28"/>
      <x:c r="J71" s="28"/>
      <x:c r="K71" s="28"/>
      <x:c r="L71" s="33"/>
      <x:c r="M71" s="33" t="str">
        <x:f>IF(E71="","CHỜ NHẬP","ĐÃ CÓ DỮ LIỆU")</x:f>
        <x:v>CHỜ NHẬP</x:v>
      </x:c>
      <x:c r="N71" s="33" t="str">
        <x:f>IF(AND(B71="",E71=""),"",IF(A71="","THIẾU ID",IF(COUNTIF($A$8:$A$80,A71)&gt;1,"TRÙNG ID",IF(COUNTIF(HANG_MUC!$A$6:$A$50,B71)=0,"SAI HẠNG MỤC","OK"))))</x:f>
      </x:c>
    </x:row>
    <x:row r="72">
      <x:c r="A72" s="33" t="str">
        <x:f>IF(OR(B72="",D72=""),"",B72&amp;"-"&amp;IF(OR(C72="",C72="-"),"X",UPPER(C72))&amp;"-"&amp;TEXT(D72,"00"))</x:f>
      </x:c>
      <x:c r="B72" s="26"/>
      <x:c r="C72" s="26"/>
      <x:c r="D72" s="35"/>
      <x:c r="E72" s="28"/>
      <x:c r="F72" s="28"/>
      <x:c r="G72" s="28"/>
      <x:c r="H72" s="28"/>
      <x:c r="I72" s="28"/>
      <x:c r="J72" s="28"/>
      <x:c r="K72" s="28"/>
      <x:c r="L72" s="33"/>
      <x:c r="M72" s="33" t="str">
        <x:f>IF(E72="","CHỜ NHẬP","ĐÃ CÓ DỮ LIỆU")</x:f>
        <x:v>CHỜ NHẬP</x:v>
      </x:c>
      <x:c r="N72" s="33" t="str">
        <x:f>IF(AND(B72="",E72=""),"",IF(A72="","THIẾU ID",IF(COUNTIF($A$8:$A$80,A72)&gt;1,"TRÙNG ID",IF(COUNTIF(HANG_MUC!$A$6:$A$50,B72)=0,"SAI HẠNG MỤC","OK"))))</x:f>
      </x:c>
    </x:row>
    <x:row r="73">
      <x:c r="A73" s="33" t="str">
        <x:f>IF(OR(B73="",D73=""),"",B73&amp;"-"&amp;IF(OR(C73="",C73="-"),"X",UPPER(C73))&amp;"-"&amp;TEXT(D73,"00"))</x:f>
      </x:c>
      <x:c r="B73" s="26"/>
      <x:c r="C73" s="26"/>
      <x:c r="D73" s="35"/>
      <x:c r="E73" s="28"/>
      <x:c r="F73" s="28"/>
      <x:c r="G73" s="28"/>
      <x:c r="H73" s="28"/>
      <x:c r="I73" s="28"/>
      <x:c r="J73" s="28"/>
      <x:c r="K73" s="28"/>
      <x:c r="L73" s="33"/>
      <x:c r="M73" s="33" t="str">
        <x:f>IF(E73="","CHỜ NHẬP","ĐÃ CÓ DỮ LIỆU")</x:f>
        <x:v>CHỜ NHẬP</x:v>
      </x:c>
      <x:c r="N73" s="33" t="str">
        <x:f>IF(AND(B73="",E73=""),"",IF(A73="","THIẾU ID",IF(COUNTIF($A$8:$A$80,A73)&gt;1,"TRÙNG ID",IF(COUNTIF(HANG_MUC!$A$6:$A$50,B73)=0,"SAI HẠNG MỤC","OK"))))</x:f>
      </x:c>
    </x:row>
    <x:row r="74">
      <x:c r="A74" s="33" t="str">
        <x:f>IF(OR(B74="",D74=""),"",B74&amp;"-"&amp;IF(OR(C74="",C74="-"),"X",UPPER(C74))&amp;"-"&amp;TEXT(D74,"00"))</x:f>
      </x:c>
      <x:c r="B74" s="26"/>
      <x:c r="C74" s="26"/>
      <x:c r="D74" s="35"/>
      <x:c r="E74" s="28"/>
      <x:c r="F74" s="28"/>
      <x:c r="G74" s="28"/>
      <x:c r="H74" s="28"/>
      <x:c r="I74" s="28"/>
      <x:c r="J74" s="28"/>
      <x:c r="K74" s="28"/>
      <x:c r="L74" s="33"/>
      <x:c r="M74" s="33" t="str">
        <x:f>IF(E74="","CHỜ NHẬP","ĐÃ CÓ DỮ LIỆU")</x:f>
        <x:v>CHỜ NHẬP</x:v>
      </x:c>
      <x:c r="N74" s="33" t="str">
        <x:f>IF(AND(B74="",E74=""),"",IF(A74="","THIẾU ID",IF(COUNTIF($A$8:$A$80,A74)&gt;1,"TRÙNG ID",IF(COUNTIF(HANG_MUC!$A$6:$A$50,B74)=0,"SAI HẠNG MỤC","OK"))))</x:f>
      </x:c>
    </x:row>
    <x:row r="75">
      <x:c r="A75" s="33" t="str">
        <x:f>IF(OR(B75="",D75=""),"",B75&amp;"-"&amp;IF(OR(C75="",C75="-"),"X",UPPER(C75))&amp;"-"&amp;TEXT(D75,"00"))</x:f>
      </x:c>
      <x:c r="B75" s="26"/>
      <x:c r="C75" s="26"/>
      <x:c r="D75" s="35"/>
      <x:c r="E75" s="28"/>
      <x:c r="F75" s="28"/>
      <x:c r="G75" s="28"/>
      <x:c r="H75" s="28"/>
      <x:c r="I75" s="28"/>
      <x:c r="J75" s="28"/>
      <x:c r="K75" s="28"/>
      <x:c r="L75" s="33"/>
      <x:c r="M75" s="33" t="str">
        <x:f>IF(E75="","CHỜ NHẬP","ĐÃ CÓ DỮ LIỆU")</x:f>
        <x:v>CHỜ NHẬP</x:v>
      </x:c>
      <x:c r="N75" s="33" t="str">
        <x:f>IF(AND(B75="",E75=""),"",IF(A75="","THIẾU ID",IF(COUNTIF($A$8:$A$80,A75)&gt;1,"TRÙNG ID",IF(COUNTIF(HANG_MUC!$A$6:$A$50,B75)=0,"SAI HẠNG MỤC","OK"))))</x:f>
      </x:c>
    </x:row>
    <x:row r="76">
      <x:c r="A76" s="33" t="str">
        <x:f>IF(OR(B76="",D76=""),"",B76&amp;"-"&amp;IF(OR(C76="",C76="-"),"X",UPPER(C76))&amp;"-"&amp;TEXT(D76,"00"))</x:f>
      </x:c>
      <x:c r="B76" s="26"/>
      <x:c r="C76" s="26"/>
      <x:c r="D76" s="35"/>
      <x:c r="E76" s="28"/>
      <x:c r="F76" s="28"/>
      <x:c r="G76" s="28"/>
      <x:c r="H76" s="28"/>
      <x:c r="I76" s="28"/>
      <x:c r="J76" s="28"/>
      <x:c r="K76" s="28"/>
      <x:c r="L76" s="33"/>
      <x:c r="M76" s="33" t="str">
        <x:f>IF(E76="","CHỜ NHẬP","ĐÃ CÓ DỮ LIỆU")</x:f>
        <x:v>CHỜ NHẬP</x:v>
      </x:c>
      <x:c r="N76" s="33" t="str">
        <x:f>IF(AND(B76="",E76=""),"",IF(A76="","THIẾU ID",IF(COUNTIF($A$8:$A$80,A76)&gt;1,"TRÙNG ID",IF(COUNTIF(HANG_MUC!$A$6:$A$50,B76)=0,"SAI HẠNG MỤC","OK"))))</x:f>
      </x:c>
    </x:row>
    <x:row r="77">
      <x:c r="A77" s="33" t="str">
        <x:f>IF(OR(B77="",D77=""),"",B77&amp;"-"&amp;IF(OR(C77="",C77="-"),"X",UPPER(C77))&amp;"-"&amp;TEXT(D77,"00"))</x:f>
      </x:c>
      <x:c r="B77" s="26"/>
      <x:c r="C77" s="26"/>
      <x:c r="D77" s="35"/>
      <x:c r="E77" s="28"/>
      <x:c r="F77" s="28"/>
      <x:c r="G77" s="28"/>
      <x:c r="H77" s="28"/>
      <x:c r="I77" s="28"/>
      <x:c r="J77" s="28"/>
      <x:c r="K77" s="28"/>
      <x:c r="L77" s="33"/>
      <x:c r="M77" s="33" t="str">
        <x:f>IF(E77="","CHỜ NHẬP","ĐÃ CÓ DỮ LIỆU")</x:f>
        <x:v>CHỜ NHẬP</x:v>
      </x:c>
      <x:c r="N77" s="33" t="str">
        <x:f>IF(AND(B77="",E77=""),"",IF(A77="","THIẾU ID",IF(COUNTIF($A$8:$A$80,A77)&gt;1,"TRÙNG ID",IF(COUNTIF(HANG_MUC!$A$6:$A$50,B77)=0,"SAI HẠNG MỤC","OK"))))</x:f>
      </x:c>
    </x:row>
    <x:row r="78">
      <x:c r="A78" s="33" t="str">
        <x:f>IF(OR(B78="",D78=""),"",B78&amp;"-"&amp;IF(OR(C78="",C78="-"),"X",UPPER(C78))&amp;"-"&amp;TEXT(D78,"00"))</x:f>
      </x:c>
      <x:c r="B78" s="26"/>
      <x:c r="C78" s="26"/>
      <x:c r="D78" s="35"/>
      <x:c r="E78" s="28"/>
      <x:c r="F78" s="28"/>
      <x:c r="G78" s="28"/>
      <x:c r="H78" s="28"/>
      <x:c r="I78" s="28"/>
      <x:c r="J78" s="28"/>
      <x:c r="K78" s="28"/>
      <x:c r="L78" s="33"/>
      <x:c r="M78" s="33" t="str">
        <x:f>IF(E78="","CHỜ NHẬP","ĐÃ CÓ DỮ LIỆU")</x:f>
        <x:v>CHỜ NHẬP</x:v>
      </x:c>
      <x:c r="N78" s="33" t="str">
        <x:f>IF(AND(B78="",E78=""),"",IF(A78="","THIẾU ID",IF(COUNTIF($A$8:$A$80,A78)&gt;1,"TRÙNG ID",IF(COUNTIF(HANG_MUC!$A$6:$A$50,B78)=0,"SAI HẠNG MỤC","OK"))))</x:f>
      </x:c>
    </x:row>
    <x:row r="79">
      <x:c r="A79" s="33" t="str">
        <x:f>IF(OR(B79="",D79=""),"",B79&amp;"-"&amp;IF(OR(C79="",C79="-"),"X",UPPER(C79))&amp;"-"&amp;TEXT(D79,"00"))</x:f>
      </x:c>
      <x:c r="B79" s="26"/>
      <x:c r="C79" s="26"/>
      <x:c r="D79" s="35"/>
      <x:c r="E79" s="28"/>
      <x:c r="F79" s="28"/>
      <x:c r="G79" s="28"/>
      <x:c r="H79" s="28"/>
      <x:c r="I79" s="28"/>
      <x:c r="J79" s="28"/>
      <x:c r="K79" s="28"/>
      <x:c r="L79" s="33"/>
      <x:c r="M79" s="33" t="str">
        <x:f>IF(E79="","CHỜ NHẬP","ĐÃ CÓ DỮ LIỆU")</x:f>
        <x:v>CHỜ NHẬP</x:v>
      </x:c>
      <x:c r="N79" s="33" t="str">
        <x:f>IF(AND(B79="",E79=""),"",IF(A79="","THIẾU ID",IF(COUNTIF($A$8:$A$80,A79)&gt;1,"TRÙNG ID",IF(COUNTIF(HANG_MUC!$A$6:$A$50,B79)=0,"SAI HẠNG MỤC","OK"))))</x:f>
      </x:c>
    </x:row>
    <x:row r="80">
      <x:c r="A80" s="33" t="str">
        <x:f>IF(OR(B80="",D80=""),"",B80&amp;"-"&amp;IF(OR(C80="",C80="-"),"X",UPPER(C80))&amp;"-"&amp;TEXT(D80,"00"))</x:f>
      </x:c>
      <x:c r="B80" s="26"/>
      <x:c r="C80" s="26"/>
      <x:c r="D80" s="35"/>
      <x:c r="E80" s="28"/>
      <x:c r="F80" s="28"/>
      <x:c r="G80" s="28"/>
      <x:c r="H80" s="28"/>
      <x:c r="I80" s="28"/>
      <x:c r="J80" s="28"/>
      <x:c r="K80" s="28"/>
      <x:c r="L80" s="33"/>
      <x:c r="M80" s="33" t="str">
        <x:f>IF(E80="","CHỜ NHẬP","ĐÃ CÓ DỮ LIỆU")</x:f>
        <x:v>CHỜ NHẬP</x:v>
      </x:c>
      <x:c r="N80" s="33" t="str">
        <x:f>IF(AND(B80="",E80=""),"",IF(A80="","THIẾU ID",IF(COUNTIF($A$8:$A$80,A80)&gt;1,"TRÙNG ID",IF(COUNTIF(HANG_MUC!$A$6:$A$50,B80)=0,"SAI HẠNG MỤC","OK"))))</x:f>
      </x:c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80">
    <x:cfRule type="containsText" dxfId="1" priority="1" operator="containsText" text="TRÙNG"/>
    <x:cfRule type="containsText" dxfId="2" priority="2" operator="containsText" text="SAI"/>
    <x:cfRule type="containsText" dxfId="3" priority="3" operator="containsText" text="THIẾU"/>
    <x:cfRule type="containsText" dxfId="4" priority="4" operator="containsText" text="OK"/>
  </x:conditionalFormatting>
  <x:conditionalFormatting sqref="M8:M80">
    <x:cfRule type="containsText" dxfId="5" priority="5" operator="containsText" text="CHỜ"/>
  </x:conditionalFormatting>
  <x:dataValidations count="3">
    <x:dataValidation type="list" sqref="B8:B80">
      <x:formula1>HANG_MUC!$A$6:$A$9</x:formula1>
    </x:dataValidation>
    <x:dataValidation type="list" sqref="C8:C80">
      <x:formula1>"-,A,B,C,D,E,F,G,H"</x:formula1>
    </x:dataValidation>
    <x:dataValidation type="whole" operator="between" sqref="D8:D80">
      <x:formula1>1</x:formula1>
      <x:formula2>999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Bóng bàn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BB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BB-DON-NAM45-A-01</x:v>
      </x:c>
      <x:c r="B8" s="24" t="str">
        <x:v>BB-DON-NAM45</x:v>
      </x:c>
      <x:c r="C8" s="24" t="str">
        <x:v>A</x:v>
      </x:c>
      <x:c r="D8" s="34" t="n">
        <x:v>1</x:v>
      </x:c>
      <x:c r="E8" s="27" t="str">
        <x:v>Phạm Đức Thư</x:v>
      </x:c>
      <x:c r="F8" s="27" t="str"/>
      <x:c r="G8" s="27" t="str"/>
      <x:c r="H8" s="27" t="str"/>
      <x:c r="I8" s="27" t="str"/>
      <x:c r="J8" s="27" t="str">
        <x:v>PTSC Supply Base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ID",IF(COUNTIF($A$8:$A$65,A8)&gt;1,"TRÙNG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BB-DON-NAM45-A-02</x:v>
      </x:c>
      <x:c r="B9" s="26" t="str">
        <x:v>BB-DON-NAM45</x:v>
      </x:c>
      <x:c r="C9" s="26" t="str">
        <x:v>A</x:v>
      </x:c>
      <x:c r="D9" s="35" t="n">
        <x:v>2</x:v>
      </x:c>
      <x:c r="E9" s="28" t="str">
        <x:v>Nguyễn Văn Toàn</x:v>
      </x:c>
      <x:c r="F9" s="28" t="str"/>
      <x:c r="G9" s="28" t="str"/>
      <x:c r="H9" s="28" t="str"/>
      <x:c r="I9" s="28" t="str"/>
      <x:c r="J9" s="28" t="str">
        <x:v>POS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ID",IF(COUNTIF($A$8:$A$65,A9)&gt;1,"TRÙNG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BB-DON-NAM45-A-03</x:v>
      </x:c>
      <x:c r="B10" s="26" t="str">
        <x:v>BB-DON-NAM45</x:v>
      </x:c>
      <x:c r="C10" s="26" t="str">
        <x:v>A</x:v>
      </x:c>
      <x:c r="D10" s="35" t="n">
        <x:v>3</x:v>
      </x:c>
      <x:c r="E10" s="28" t="str">
        <x:v>Âu Công Phúc</x:v>
      </x:c>
      <x:c r="F10" s="28" t="str"/>
      <x:c r="G10" s="28" t="str"/>
      <x:c r="H10" s="28" t="str"/>
      <x:c r="I10" s="28" t="str"/>
      <x:c r="J10" s="28" t="str">
        <x:v>PTSC M&amp;C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ID",IF(COUNTIF($A$8:$A$65,A10)&gt;1,"TRÙNG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BB-DON-NAM45-A-04</x:v>
      </x:c>
      <x:c r="B11" s="26" t="str">
        <x:v>BB-DON-NAM45</x:v>
      </x:c>
      <x:c r="C11" s="26" t="str">
        <x:v>A</x:v>
      </x:c>
      <x:c r="D11" s="35" t="n">
        <x:v>4</x:v>
      </x:c>
      <x:c r="E11" s="28" t="str">
        <x:v>Tăng Văn Cường</x:v>
      </x:c>
      <x:c r="F11" s="28" t="str"/>
      <x:c r="G11" s="28" t="str"/>
      <x:c r="H11" s="28" t="str"/>
      <x:c r="I11" s="28" t="str"/>
      <x:c r="J11" s="28" t="str">
        <x:v>PTSC Quảng Ngãi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ID",IF(COUNTIF($A$8:$A$65,A11)&gt;1,"TRÙNG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BB-DON-NAM45-B-01</x:v>
      </x:c>
      <x:c r="B12" s="26" t="str">
        <x:v>BB-DON-NAM45</x:v>
      </x:c>
      <x:c r="C12" s="26" t="str">
        <x:v>B</x:v>
      </x:c>
      <x:c r="D12" s="35" t="n">
        <x:v>1</x:v>
      </x:c>
      <x:c r="E12" s="28" t="str">
        <x:v>Vũ Việt Hoàng</x:v>
      </x:c>
      <x:c r="F12" s="28" t="str"/>
      <x:c r="G12" s="28" t="str"/>
      <x:c r="H12" s="28" t="str"/>
      <x:c r="I12" s="28" t="str"/>
      <x:c r="J12" s="28" t="str">
        <x:v>PTSC M&amp;C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ID",IF(COUNTIF($A$8:$A$65,A12)&gt;1,"TRÙNG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BB-DON-NAM45-B-02</x:v>
      </x:c>
      <x:c r="B13" s="26" t="str">
        <x:v>BB-DON-NAM45</x:v>
      </x:c>
      <x:c r="C13" s="26" t="str">
        <x:v>B</x:v>
      </x:c>
      <x:c r="D13" s="35" t="n">
        <x:v>2</x:v>
      </x:c>
      <x:c r="E13" s="28" t="str">
        <x:v>Phạm Thanh Chung</x:v>
      </x:c>
      <x:c r="F13" s="28" t="str"/>
      <x:c r="G13" s="28" t="str"/>
      <x:c r="H13" s="28" t="str"/>
      <x:c r="I13" s="28" t="str"/>
      <x:c r="J13" s="28" t="str">
        <x:v>PVSecurity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ID",IF(COUNTIF($A$8:$A$65,A13)&gt;1,"TRÙNG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BB-DON-NAM45-B-03</x:v>
      </x:c>
      <x:c r="B14" s="26" t="str">
        <x:v>BB-DON-NAM45</x:v>
      </x:c>
      <x:c r="C14" s="26" t="str">
        <x:v>B</x:v>
      </x:c>
      <x:c r="D14" s="35" t="n">
        <x:v>3</x:v>
      </x:c>
      <x:c r="E14" s="28" t="str">
        <x:v>Lê Hồ Phương</x:v>
      </x:c>
      <x:c r="F14" s="28" t="str"/>
      <x:c r="G14" s="28" t="str"/>
      <x:c r="H14" s="28" t="str"/>
      <x:c r="I14" s="28" t="str"/>
      <x:c r="J14" s="28" t="str">
        <x:v>PTSC Thanh Hoá</x:v>
      </x:c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ID",IF(COUNTIF($A$8:$A$65,A14)&gt;1,"TRÙNG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BB-DON-NAM46-A-01</x:v>
      </x:c>
      <x:c r="B15" s="26" t="str">
        <x:v>BB-DON-NAM46</x:v>
      </x:c>
      <x:c r="C15" s="26" t="str">
        <x:v>A</x:v>
      </x:c>
      <x:c r="D15" s="35" t="n">
        <x:v>1</x:v>
      </x:c>
      <x:c r="E15" s="28" t="str">
        <x:v>Lê Công Minh</x:v>
      </x:c>
      <x:c r="F15" s="28" t="str"/>
      <x:c r="G15" s="28" t="str"/>
      <x:c r="H15" s="28" t="str"/>
      <x:c r="I15" s="28" t="str"/>
      <x:c r="J15" s="28" t="str">
        <x:v>PTSC Supply Base</x:v>
      </x:c>
      <x:c r="K15" s="28" t="str"/>
      <x:c r="L15" s="33" t="n">
        <x:v>2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ID",IF(COUNTIF($A$8:$A$65,A15)&gt;1,"TRÙNG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BB-DON-NAM46-A-02</x:v>
      </x:c>
      <x:c r="B16" s="26" t="str">
        <x:v>BB-DON-NAM46</x:v>
      </x:c>
      <x:c r="C16" s="26" t="str">
        <x:v>A</x:v>
      </x:c>
      <x:c r="D16" s="35" t="n">
        <x:v>2</x:v>
      </x:c>
      <x:c r="E16" s="28" t="str">
        <x:v>Thái Hà</x:v>
      </x:c>
      <x:c r="F16" s="28" t="str"/>
      <x:c r="G16" s="28" t="str"/>
      <x:c r="H16" s="28" t="str"/>
      <x:c r="I16" s="28" t="str"/>
      <x:c r="J16" s="28" t="str">
        <x:v>PVSecurity</x:v>
      </x:c>
      <x:c r="K16" s="28" t="str"/>
      <x:c r="L16" s="33" t="n">
        <x:v>2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ID",IF(COUNTIF($A$8:$A$65,A16)&gt;1,"TRÙNG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BB-DON-NAM46-A-03</x:v>
      </x:c>
      <x:c r="B17" s="26" t="str">
        <x:v>BB-DON-NAM46</x:v>
      </x:c>
      <x:c r="C17" s="26" t="str">
        <x:v>A</x:v>
      </x:c>
      <x:c r="D17" s="35" t="n">
        <x:v>3</x:v>
      </x:c>
      <x:c r="E17" s="28" t="str">
        <x:v>Hồ Đức Minh</x:v>
      </x:c>
      <x:c r="F17" s="28" t="str"/>
      <x:c r="G17" s="28" t="str"/>
      <x:c r="H17" s="28" t="str"/>
      <x:c r="I17" s="28" t="str"/>
      <x:c r="J17" s="28" t="str">
        <x:v>PTSC M&amp;C</x:v>
      </x:c>
      <x:c r="K17" s="28" t="str"/>
      <x:c r="L17" s="33" t="n">
        <x:v>2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ID",IF(COUNTIF($A$8:$A$65,A17)&gt;1,"TRÙNG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BB-DON-NAM46-A-04</x:v>
      </x:c>
      <x:c r="B18" s="26" t="str">
        <x:v>BB-DON-NAM46</x:v>
      </x:c>
      <x:c r="C18" s="26" t="str">
        <x:v>A</x:v>
      </x:c>
      <x:c r="D18" s="35" t="n">
        <x:v>4</x:v>
      </x:c>
      <x:c r="E18" s="28" t="str">
        <x:v>Trần Đình Nam</x:v>
      </x:c>
      <x:c r="F18" s="28" t="str"/>
      <x:c r="G18" s="28" t="str"/>
      <x:c r="H18" s="28" t="str"/>
      <x:c r="I18" s="28" t="str"/>
      <x:c r="J18" s="28" t="str">
        <x:v>PTSC M&amp;C</x:v>
      </x:c>
      <x:c r="K18" s="28" t="str"/>
      <x:c r="L18" s="33" t="n">
        <x:v>2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ID",IF(COUNTIF($A$8:$A$65,A18)&gt;1,"TRÙNG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BB-DON-NAM46-B-01</x:v>
      </x:c>
      <x:c r="B19" s="26" t="str">
        <x:v>BB-DON-NAM46</x:v>
      </x:c>
      <x:c r="C19" s="26" t="str">
        <x:v>B</x:v>
      </x:c>
      <x:c r="D19" s="35" t="n">
        <x:v>1</x:v>
      </x:c>
      <x:c r="E19" s="28" t="str">
        <x:v>Trần Văn Ninh</x:v>
      </x:c>
      <x:c r="F19" s="28" t="str"/>
      <x:c r="G19" s="28" t="str"/>
      <x:c r="H19" s="28" t="str"/>
      <x:c r="I19" s="28" t="str"/>
      <x:c r="J19" s="28" t="str">
        <x:v>PPS</x:v>
      </x:c>
      <x:c r="K19" s="28" t="str"/>
      <x:c r="L19" s="33" t="n">
        <x:v>2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ID",IF(COUNTIF($A$8:$A$65,A19)&gt;1,"TRÙNG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BB-DON-NAM46-B-02</x:v>
      </x:c>
      <x:c r="B20" s="26" t="str">
        <x:v>BB-DON-NAM46</x:v>
      </x:c>
      <x:c r="C20" s="26" t="str">
        <x:v>B</x:v>
      </x:c>
      <x:c r="D20" s="35" t="n">
        <x:v>2</x:v>
      </x:c>
      <x:c r="E20" s="28" t="str">
        <x:v>Nguyễn Quốc Bửu</x:v>
      </x:c>
      <x:c r="F20" s="28" t="str"/>
      <x:c r="G20" s="28" t="str"/>
      <x:c r="H20" s="28" t="str"/>
      <x:c r="I20" s="28" t="str"/>
      <x:c r="J20" s="28" t="str">
        <x:v>PTSC Quảng Ngãi</x:v>
      </x:c>
      <x:c r="K20" s="28" t="str"/>
      <x:c r="L20" s="33" t="n">
        <x:v>2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ID",IF(COUNTIF($A$8:$A$65,A20)&gt;1,"TRÙNG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BB-DON-NAM46-B-03</x:v>
      </x:c>
      <x:c r="B21" s="26" t="str">
        <x:v>BB-DON-NAM46</x:v>
      </x:c>
      <x:c r="C21" s="26" t="str">
        <x:v>B</x:v>
      </x:c>
      <x:c r="D21" s="35" t="n">
        <x:v>3</x:v>
      </x:c>
      <x:c r="E21" s="28" t="str">
        <x:v>Nguyễn Thế Chiến</x:v>
      </x:c>
      <x:c r="F21" s="28" t="str"/>
      <x:c r="G21" s="28" t="str"/>
      <x:c r="H21" s="28" t="str"/>
      <x:c r="I21" s="28" t="str"/>
      <x:c r="J21" s="28" t="str">
        <x:v>PTSC Thanh Hoá</x:v>
      </x:c>
      <x:c r="K21" s="28" t="str"/>
      <x:c r="L21" s="33" t="n">
        <x:v>2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ID",IF(COUNTIF($A$8:$A$65,A21)&gt;1,"TRÙNG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BB-DON-NU45-A-01</x:v>
      </x:c>
      <x:c r="B22" s="26" t="str">
        <x:v>BB-DON-NU45</x:v>
      </x:c>
      <x:c r="C22" s="26" t="str">
        <x:v>A</x:v>
      </x:c>
      <x:c r="D22" s="35" t="n">
        <x:v>1</x:v>
      </x:c>
      <x:c r="E22" s="28" t="str">
        <x:v>Phạm Thị Lan</x:v>
      </x:c>
      <x:c r="F22" s="28" t="str"/>
      <x:c r="G22" s="28" t="str"/>
      <x:c r="H22" s="28" t="str"/>
      <x:c r="I22" s="28" t="str"/>
      <x:c r="J22" s="28" t="str">
        <x:v>PTSC M&amp;C</x:v>
      </x:c>
      <x:c r="K22" s="28" t="str"/>
      <x:c r="L22" s="33" t="n">
        <x:v>3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ID",IF(COUNTIF($A$8:$A$65,A22)&gt;1,"TRÙNG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BB-DON-NU45-A-02</x:v>
      </x:c>
      <x:c r="B23" s="26" t="str">
        <x:v>BB-DON-NU45</x:v>
      </x:c>
      <x:c r="C23" s="26" t="str">
        <x:v>A</x:v>
      </x:c>
      <x:c r="D23" s="35" t="n">
        <x:v>2</x:v>
      </x:c>
      <x:c r="E23" s="28" t="str">
        <x:v>Mai Thùy Trang</x:v>
      </x:c>
      <x:c r="F23" s="28" t="str"/>
      <x:c r="G23" s="28" t="str"/>
      <x:c r="H23" s="28" t="str"/>
      <x:c r="I23" s="28" t="str"/>
      <x:c r="J23" s="28" t="str">
        <x:v>PPS</x:v>
      </x:c>
      <x:c r="K23" s="28" t="str"/>
      <x:c r="L23" s="33" t="n">
        <x:v>3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ID",IF(COUNTIF($A$8:$A$65,A23)&gt;1,"TRÙNG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BB-DON-NU45-A-03</x:v>
      </x:c>
      <x:c r="B24" s="26" t="str">
        <x:v>BB-DON-NU45</x:v>
      </x:c>
      <x:c r="C24" s="26" t="str">
        <x:v>A</x:v>
      </x:c>
      <x:c r="D24" s="35" t="n">
        <x:v>3</x:v>
      </x:c>
      <x:c r="E24" s="28" t="str">
        <x:v>Văn Thị Hà</x:v>
      </x:c>
      <x:c r="F24" s="28" t="str"/>
      <x:c r="G24" s="28" t="str"/>
      <x:c r="H24" s="28" t="str"/>
      <x:c r="I24" s="28" t="str"/>
      <x:c r="J24" s="28" t="str">
        <x:v>PTSC Thanh Hóa</x:v>
      </x:c>
      <x:c r="K24" s="28" t="str"/>
      <x:c r="L24" s="33" t="n">
        <x:v>3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ID",IF(COUNTIF($A$8:$A$65,A24)&gt;1,"TRÙNG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BB-DON-NU45-B-01</x:v>
      </x:c>
      <x:c r="B25" s="26" t="str">
        <x:v>BB-DON-NU45</x:v>
      </x:c>
      <x:c r="C25" s="26" t="str">
        <x:v>B</x:v>
      </x:c>
      <x:c r="D25" s="35" t="n">
        <x:v>1</x:v>
      </x:c>
      <x:c r="E25" s="28" t="str">
        <x:v>Dương Thị Ngọc Lan</x:v>
      </x:c>
      <x:c r="F25" s="28" t="str"/>
      <x:c r="G25" s="28" t="str"/>
      <x:c r="H25" s="28" t="str"/>
      <x:c r="I25" s="28" t="str"/>
      <x:c r="J25" s="28" t="str">
        <x:v>PPS</x:v>
      </x:c>
      <x:c r="K25" s="28" t="str"/>
      <x:c r="L25" s="33" t="n">
        <x:v>3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ID",IF(COUNTIF($A$8:$A$65,A25)&gt;1,"TRÙNG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BB-DON-NU45-B-02</x:v>
      </x:c>
      <x:c r="B26" s="26" t="str">
        <x:v>BB-DON-NU45</x:v>
      </x:c>
      <x:c r="C26" s="26" t="str">
        <x:v>B</x:v>
      </x:c>
      <x:c r="D26" s="35" t="n">
        <x:v>2</x:v>
      </x:c>
      <x:c r="E26" s="28" t="str">
        <x:v>Lê Thị Thuý Quỳnh</x:v>
      </x:c>
      <x:c r="F26" s="28" t="str"/>
      <x:c r="G26" s="28" t="str"/>
      <x:c r="H26" s="28" t="str"/>
      <x:c r="I26" s="28" t="str"/>
      <x:c r="J26" s="28" t="str">
        <x:v>PTSC M&amp;C</x:v>
      </x:c>
      <x:c r="K26" s="28" t="str"/>
      <x:c r="L26" s="33" t="n">
        <x:v>3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ID",IF(COUNTIF($A$8:$A$65,A26)&gt;1,"TRÙNG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BB-DON-NU45-B-03</x:v>
      </x:c>
      <x:c r="B27" s="26" t="str">
        <x:v>BB-DON-NU45</x:v>
      </x:c>
      <x:c r="C27" s="26" t="str">
        <x:v>B</x:v>
      </x:c>
      <x:c r="D27" s="35" t="n">
        <x:v>3</x:v>
      </x:c>
      <x:c r="E27" s="28" t="str">
        <x:v>Nguyễn Thị Ngân Hà</x:v>
      </x:c>
      <x:c r="F27" s="28" t="str"/>
      <x:c r="G27" s="28" t="str"/>
      <x:c r="H27" s="28" t="str"/>
      <x:c r="I27" s="28" t="str"/>
      <x:c r="J27" s="28" t="str">
        <x:v>PTSC Đình Vũ</x:v>
      </x:c>
      <x:c r="K27" s="28" t="str"/>
      <x:c r="L27" s="33" t="n">
        <x:v>3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ID",IF(COUNTIF($A$8:$A$65,A27)&gt;1,"TRÙNG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BB-DOI-NAM45-A-01</x:v>
      </x:c>
      <x:c r="B28" s="26" t="str">
        <x:v>BB-DOI-NAM45</x:v>
      </x:c>
      <x:c r="C28" s="26" t="str">
        <x:v>A</x:v>
      </x:c>
      <x:c r="D28" s="35" t="n">
        <x:v>1</x:v>
      </x:c>
      <x:c r="E28" s="28" t="str">
        <x:v>Nguyễn Việt Hưng</x:v>
      </x:c>
      <x:c r="F28" s="28" t="str">
        <x:v>Nguyễn Tiến Dũng</x:v>
      </x:c>
      <x:c r="G28" s="28" t="str"/>
      <x:c r="H28" s="28" t="str"/>
      <x:c r="I28" s="28" t="str"/>
      <x:c r="J28" s="28" t="str">
        <x:v>PTSC HQ</x:v>
      </x:c>
      <x:c r="K28" s="28" t="str"/>
      <x:c r="L28" s="33" t="n">
        <x:v>4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ID",IF(COUNTIF($A$8:$A$65,A28)&gt;1,"TRÙNG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BB-DOI-NAM45-A-02</x:v>
      </x:c>
      <x:c r="B29" s="26" t="str">
        <x:v>BB-DOI-NAM45</x:v>
      </x:c>
      <x:c r="C29" s="26" t="str">
        <x:v>A</x:v>
      </x:c>
      <x:c r="D29" s="35" t="n">
        <x:v>2</x:v>
      </x:c>
      <x:c r="E29" s="28" t="str">
        <x:v>Nguyễn Đức Thọ</x:v>
      </x:c>
      <x:c r="F29" s="28" t="str">
        <x:v>Dương Hiển Lâm</x:v>
      </x:c>
      <x:c r="G29" s="28" t="str"/>
      <x:c r="H29" s="28" t="str"/>
      <x:c r="I29" s="28" t="str"/>
      <x:c r="J29" s="28" t="str">
        <x:v>PTSC M&amp;C</x:v>
      </x:c>
      <x:c r="K29" s="28" t="str"/>
      <x:c r="L29" s="33" t="n">
        <x:v>4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ID",IF(COUNTIF($A$8:$A$65,A29)&gt;1,"TRÙNG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BB-DOI-NAM45-A-03</x:v>
      </x:c>
      <x:c r="B30" s="26" t="str">
        <x:v>BB-DOI-NAM45</x:v>
      </x:c>
      <x:c r="C30" s="26" t="str">
        <x:v>A</x:v>
      </x:c>
      <x:c r="D30" s="35" t="n">
        <x:v>3</x:v>
      </x:c>
      <x:c r="E30" s="28" t="str">
        <x:v>Trần Đình Nam</x:v>
      </x:c>
      <x:c r="F30" s="28" t="str">
        <x:v>Nguyễn Hà Hải</x:v>
      </x:c>
      <x:c r="G30" s="28" t="str"/>
      <x:c r="H30" s="28" t="str"/>
      <x:c r="I30" s="28" t="str"/>
      <x:c r="J30" s="28" t="str">
        <x:v>PTSC M&amp;C</x:v>
      </x:c>
      <x:c r="K30" s="28" t="str"/>
      <x:c r="L30" s="33" t="n">
        <x:v>4</x:v>
      </x:c>
      <x:c r="M30" s="33" t="str">
        <x:f>IF(E30="","CHỜ NHẬP","ĐÃ CÓ DỮ LIỆU")</x:f>
        <x:v>ĐÃ CÓ DỮ LIỆU</x:v>
      </x:c>
      <x:c r="N30" s="33" t="str">
        <x:f>IF(AND(B30="",E30=""),"",IF(A30="","THIẾU ID",IF(COUNTIF($A$8:$A$65,A30)&gt;1,"TRÙNG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BB-DOI-NAM45-B-01</x:v>
      </x:c>
      <x:c r="B31" s="26" t="str">
        <x:v>BB-DOI-NAM45</x:v>
      </x:c>
      <x:c r="C31" s="26" t="str">
        <x:v>B</x:v>
      </x:c>
      <x:c r="D31" s="35" t="n">
        <x:v>1</x:v>
      </x:c>
      <x:c r="E31" s="28" t="str">
        <x:v>Nguyễn Hoàng Anh</x:v>
      </x:c>
      <x:c r="F31" s="28" t="str">
        <x:v>Nguyễn Hồng Giang</x:v>
      </x:c>
      <x:c r="G31" s="28" t="str"/>
      <x:c r="H31" s="28" t="str"/>
      <x:c r="I31" s="28" t="str"/>
      <x:c r="J31" s="28" t="str">
        <x:v>PTSC Thanh Hóa</x:v>
      </x:c>
      <x:c r="K31" s="28" t="str"/>
      <x:c r="L31" s="33" t="n">
        <x:v>4</x:v>
      </x:c>
      <x:c r="M31" s="33" t="str">
        <x:f>IF(E31="","CHỜ NHẬP","ĐÃ CÓ DỮ LIỆU")</x:f>
        <x:v>ĐÃ CÓ DỮ LIỆU</x:v>
      </x:c>
      <x:c r="N31" s="33" t="str">
        <x:f>IF(AND(B31="",E31=""),"",IF(A31="","THIẾU ID",IF(COUNTIF($A$8:$A$65,A31)&gt;1,"TRÙNG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BB-DOI-NAM45-B-02</x:v>
      </x:c>
      <x:c r="B32" s="26" t="str">
        <x:v>BB-DOI-NAM45</x:v>
      </x:c>
      <x:c r="C32" s="26" t="str">
        <x:v>B</x:v>
      </x:c>
      <x:c r="D32" s="35" t="n">
        <x:v>2</x:v>
      </x:c>
      <x:c r="E32" s="28" t="str">
        <x:v>Phạm Thanh Chung</x:v>
      </x:c>
      <x:c r="F32" s="28" t="str">
        <x:v>Thái Hà</x:v>
      </x:c>
      <x:c r="G32" s="28" t="str"/>
      <x:c r="H32" s="28" t="str"/>
      <x:c r="I32" s="28" t="str"/>
      <x:c r="J32" s="28" t="str">
        <x:v>PVSecurity</x:v>
      </x:c>
      <x:c r="K32" s="28" t="str"/>
      <x:c r="L32" s="33" t="n">
        <x:v>4</x:v>
      </x:c>
      <x:c r="M32" s="33" t="str">
        <x:f>IF(E32="","CHỜ NHẬP","ĐÃ CÓ DỮ LIỆU")</x:f>
        <x:v>ĐÃ CÓ DỮ LIỆU</x:v>
      </x:c>
      <x:c r="N32" s="33" t="str">
        <x:f>IF(AND(B32="",E32=""),"",IF(A32="","THIẾU ID",IF(COUNTIF($A$8:$A$65,A32)&gt;1,"TRÙNG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BB-DOI-NAM45-B-03</x:v>
      </x:c>
      <x:c r="B33" s="26" t="str">
        <x:v>BB-DOI-NAM45</x:v>
      </x:c>
      <x:c r="C33" s="26" t="str">
        <x:v>B</x:v>
      </x:c>
      <x:c r="D33" s="35" t="n">
        <x:v>3</x:v>
      </x:c>
      <x:c r="E33" s="28" t="str">
        <x:v>Hồ Đức Kỳ</x:v>
      </x:c>
      <x:c r="F33" s="28" t="str">
        <x:v>Hồ Đức Minh</x:v>
      </x:c>
      <x:c r="G33" s="28" t="str"/>
      <x:c r="H33" s="28" t="str"/>
      <x:c r="I33" s="28" t="str"/>
      <x:c r="J33" s="28" t="str">
        <x:v>PTSC M&amp;C</x:v>
      </x:c>
      <x:c r="K33" s="28" t="str"/>
      <x:c r="L33" s="33" t="n">
        <x:v>4</x:v>
      </x:c>
      <x:c r="M33" s="33" t="str">
        <x:f>IF(E33="","CHỜ NHẬP","ĐÃ CÓ DỮ LIỆU")</x:f>
        <x:v>ĐÃ CÓ DỮ LIỆU</x:v>
      </x:c>
      <x:c r="N33" s="33" t="str">
        <x:f>IF(AND(B33="",E33=""),"",IF(A33="","THIẾU ID",IF(COUNTIF($A$8:$A$65,A33)&gt;1,"TRÙNG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BB-DOI-NAM45-C-01</x:v>
      </x:c>
      <x:c r="B34" s="26" t="str">
        <x:v>BB-DOI-NAM45</x:v>
      </x:c>
      <x:c r="C34" s="26" t="str">
        <x:v>C</x:v>
      </x:c>
      <x:c r="D34" s="35" t="n">
        <x:v>1</x:v>
      </x:c>
      <x:c r="E34" s="28" t="str">
        <x:v>Phạm Việt Hùng</x:v>
      </x:c>
      <x:c r="F34" s="28" t="str">
        <x:v>Nguyễn Thành Luân</x:v>
      </x:c>
      <x:c r="G34" s="28" t="str"/>
      <x:c r="H34" s="28" t="str"/>
      <x:c r="I34" s="28" t="str"/>
      <x:c r="J34" s="28" t="str">
        <x:v>PPS</x:v>
      </x:c>
      <x:c r="K34" s="28" t="str"/>
      <x:c r="L34" s="33" t="n">
        <x:v>5</x:v>
      </x:c>
      <x:c r="M34" s="33" t="str">
        <x:f>IF(E34="","CHỜ NHẬP","ĐÃ CÓ DỮ LIỆU")</x:f>
        <x:v>ĐÃ CÓ DỮ LIỆU</x:v>
      </x:c>
      <x:c r="N34" s="33" t="str">
        <x:f>IF(AND(B34="",E34=""),"",IF(A34="","THIẾU ID",IF(COUNTIF($A$8:$A$65,A34)&gt;1,"TRÙNG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BB-DOI-NAM45-C-02</x:v>
      </x:c>
      <x:c r="B35" s="26" t="str">
        <x:v>BB-DOI-NAM45</x:v>
      </x:c>
      <x:c r="C35" s="26" t="str">
        <x:v>C</x:v>
      </x:c>
      <x:c r="D35" s="35" t="n">
        <x:v>2</x:v>
      </x:c>
      <x:c r="E35" s="28" t="str">
        <x:v>Vũ Việt Hoàng</x:v>
      </x:c>
      <x:c r="F35" s="28" t="str">
        <x:v>Âu Công Phúc</x:v>
      </x:c>
      <x:c r="G35" s="28" t="str"/>
      <x:c r="H35" s="28" t="str"/>
      <x:c r="I35" s="28" t="str"/>
      <x:c r="J35" s="28" t="str">
        <x:v>PTSC M&amp;C</x:v>
      </x:c>
      <x:c r="K35" s="28" t="str"/>
      <x:c r="L35" s="33" t="n">
        <x:v>5</x:v>
      </x:c>
      <x:c r="M35" s="33" t="str">
        <x:f>IF(E35="","CHỜ NHẬP","ĐÃ CÓ DỮ LIỆU")</x:f>
        <x:v>ĐÃ CÓ DỮ LIỆU</x:v>
      </x:c>
      <x:c r="N35" s="33" t="str">
        <x:f>IF(AND(B35="",E35=""),"",IF(A35="","THIẾU ID",IF(COUNTIF($A$8:$A$65,A35)&gt;1,"TRÙNG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  <x:v>BB-DOI-NAM45-C-03</x:v>
      </x:c>
      <x:c r="B36" s="26" t="str">
        <x:v>BB-DOI-NAM45</x:v>
      </x:c>
      <x:c r="C36" s="26" t="str">
        <x:v>C</x:v>
      </x:c>
      <x:c r="D36" s="35" t="n">
        <x:v>3</x:v>
      </x:c>
      <x:c r="E36" s="28" t="str">
        <x:v>Phạm Văn Triệu</x:v>
      </x:c>
      <x:c r="F36" s="28" t="str">
        <x:v>Trần Việt Dũng</x:v>
      </x:c>
      <x:c r="G36" s="28" t="str"/>
      <x:c r="H36" s="28" t="str"/>
      <x:c r="I36" s="28" t="str"/>
      <x:c r="J36" s="28" t="str">
        <x:v>PTSC Supply Base</x:v>
      </x:c>
      <x:c r="K36" s="28" t="str"/>
      <x:c r="L36" s="33" t="n">
        <x:v>5</x:v>
      </x:c>
      <x:c r="M36" s="33" t="str">
        <x:f>IF(E36="","CHỜ NHẬP","ĐÃ CÓ DỮ LIỆU")</x:f>
        <x:v>ĐÃ CÓ DỮ LIỆU</x:v>
      </x:c>
      <x:c r="N36" s="33" t="str">
        <x:f>IF(AND(B36="",E36=""),"",IF(A36="","THIẾU ID",IF(COUNTIF($A$8:$A$65,A36)&gt;1,"TRÙNG ID",IF(COUNTIF(HANG_MUC!$A$6:$A$50,B36)=0,"SAI HẠNG MỤC","OK"))))</x:f>
        <x:v>OK</x:v>
      </x:c>
    </x:row>
    <x:row r="37">
      <x:c r="A37" s="33" t="str">
        <x:f>IF(OR(B37="",D37=""),"",B37&amp;"-"&amp;IF(OR(C37="",C37="-"),"X",UPPER(C37))&amp;"-"&amp;TEXT(D37,"00"))</x:f>
        <x:v>BB-DOI-NAM45-D-01</x:v>
      </x:c>
      <x:c r="B37" s="26" t="str">
        <x:v>BB-DOI-NAM45</x:v>
      </x:c>
      <x:c r="C37" s="26" t="str">
        <x:v>D</x:v>
      </x:c>
      <x:c r="D37" s="35" t="n">
        <x:v>1</x:v>
      </x:c>
      <x:c r="E37" s="28" t="str">
        <x:v>Lê Hồ Phương</x:v>
      </x:c>
      <x:c r="F37" s="28" t="str">
        <x:v>Nguyễn Khắc Tiến</x:v>
      </x:c>
      <x:c r="G37" s="28" t="str"/>
      <x:c r="H37" s="28" t="str"/>
      <x:c r="I37" s="28" t="str"/>
      <x:c r="J37" s="28" t="str">
        <x:v>PTSC Thanh Hóa</x:v>
      </x:c>
      <x:c r="K37" s="28" t="str"/>
      <x:c r="L37" s="33" t="n">
        <x:v>5</x:v>
      </x:c>
      <x:c r="M37" s="33" t="str">
        <x:f>IF(E37="","CHỜ NHẬP","ĐÃ CÓ DỮ LIỆU")</x:f>
        <x:v>ĐÃ CÓ DỮ LIỆU</x:v>
      </x:c>
      <x:c r="N37" s="33" t="str">
        <x:f>IF(AND(B37="",E37=""),"",IF(A37="","THIẾU ID",IF(COUNTIF($A$8:$A$65,A37)&gt;1,"TRÙNG ID",IF(COUNTIF(HANG_MUC!$A$6:$A$50,B37)=0,"SAI HẠNG MỤC","OK"))))</x:f>
        <x:v>OK</x:v>
      </x:c>
    </x:row>
    <x:row r="38">
      <x:c r="A38" s="33" t="str">
        <x:f>IF(OR(B38="",D38=""),"",B38&amp;"-"&amp;IF(OR(C38="",C38="-"),"X",UPPER(C38))&amp;"-"&amp;TEXT(D38,"00"))</x:f>
        <x:v>BB-DOI-NAM45-D-02</x:v>
      </x:c>
      <x:c r="B38" s="26" t="str">
        <x:v>BB-DOI-NAM45</x:v>
      </x:c>
      <x:c r="C38" s="26" t="str">
        <x:v>D</x:v>
      </x:c>
      <x:c r="D38" s="35" t="n">
        <x:v>2</x:v>
      </x:c>
      <x:c r="E38" s="28" t="str">
        <x:v>Thái Văn Ấn</x:v>
      </x:c>
      <x:c r="F38" s="28" t="str">
        <x:v>Bùi Văn Huy</x:v>
      </x:c>
      <x:c r="G38" s="28" t="str"/>
      <x:c r="H38" s="28" t="str"/>
      <x:c r="I38" s="28" t="str"/>
      <x:c r="J38" s="28" t="str">
        <x:v>PPS</x:v>
      </x:c>
      <x:c r="K38" s="28" t="str"/>
      <x:c r="L38" s="33" t="n">
        <x:v>5</x:v>
      </x:c>
      <x:c r="M38" s="33" t="str">
        <x:f>IF(E38="","CHỜ NHẬP","ĐÃ CÓ DỮ LIỆU")</x:f>
        <x:v>ĐÃ CÓ DỮ LIỆU</x:v>
      </x:c>
      <x:c r="N38" s="33" t="str">
        <x:f>IF(AND(B38="",E38=""),"",IF(A38="","THIẾU ID",IF(COUNTIF($A$8:$A$65,A38)&gt;1,"TRÙNG ID",IF(COUNTIF(HANG_MUC!$A$6:$A$50,B38)=0,"SAI HẠNG MỤC","OK"))))</x:f>
        <x:v>OK</x:v>
      </x:c>
    </x:row>
    <x:row r="39">
      <x:c r="A39" s="33" t="str">
        <x:f>IF(OR(B39="",D39=""),"",B39&amp;"-"&amp;IF(OR(C39="",C39="-"),"X",UPPER(C39))&amp;"-"&amp;TEXT(D39,"00"))</x:f>
        <x:v>BB-DOI-NAM45-D-03</x:v>
      </x:c>
      <x:c r="B39" s="26" t="str">
        <x:v>BB-DOI-NAM45</x:v>
      </x:c>
      <x:c r="C39" s="26" t="str">
        <x:v>D</x:v>
      </x:c>
      <x:c r="D39" s="35" t="n">
        <x:v>3</x:v>
      </x:c>
      <x:c r="E39" s="28" t="str">
        <x:v>Nguyễn Quốc Bửu</x:v>
      </x:c>
      <x:c r="F39" s="28" t="str">
        <x:v>Võ Duy Tùng</x:v>
      </x:c>
      <x:c r="G39" s="28" t="str"/>
      <x:c r="H39" s="28" t="str"/>
      <x:c r="I39" s="28" t="str"/>
      <x:c r="J39" s="28" t="str">
        <x:v>PTSC Quảng Ngãi</x:v>
      </x:c>
      <x:c r="K39" s="28" t="str"/>
      <x:c r="L39" s="33" t="n">
        <x:v>5</x:v>
      </x:c>
      <x:c r="M39" s="33" t="str">
        <x:f>IF(E39="","CHỜ NHẬP","ĐÃ CÓ DỮ LIỆU")</x:f>
        <x:v>ĐÃ CÓ DỮ LIỆU</x:v>
      </x:c>
      <x:c r="N39" s="33" t="str">
        <x:f>IF(AND(B39="",E39=""),"",IF(A39="","THIẾU ID",IF(COUNTIF($A$8:$A$65,A39)&gt;1,"TRÙNG ID",IF(COUNTIF(HANG_MUC!$A$6:$A$50,B39)=0,"SAI HẠNG MỤC","OK"))))</x:f>
        <x:v>OK</x:v>
      </x:c>
    </x:row>
    <x:row r="40">
      <x:c r="A40" s="33" t="str">
        <x:f>IF(OR(B40="",D40=""),"",B40&amp;"-"&amp;IF(OR(C40="",C40="-"),"X",UPPER(C40))&amp;"-"&amp;TEXT(D40,"00"))</x:f>
        <x:v>BB-DOI-NAMNU45-A-01</x:v>
      </x:c>
      <x:c r="B40" s="26" t="str">
        <x:v>BB-DOI-NAMNU45</x:v>
      </x:c>
      <x:c r="C40" s="26" t="str">
        <x:v>A</x:v>
      </x:c>
      <x:c r="D40" s="35" t="n">
        <x:v>1</x:v>
      </x:c>
      <x:c r="E40" s="28" t="str">
        <x:v>Nguyễn Thị Duyên</x:v>
      </x:c>
      <x:c r="F40" s="28" t="str">
        <x:v>Nguyễn Khắc Tiến</x:v>
      </x:c>
      <x:c r="G40" s="28" t="str"/>
      <x:c r="H40" s="28" t="str"/>
      <x:c r="I40" s="28" t="str"/>
      <x:c r="J40" s="28" t="str">
        <x:v>PTSC Thanh Hóa</x:v>
      </x:c>
      <x:c r="K40" s="28" t="str"/>
      <x:c r="L40" s="33" t="n">
        <x:v>7</x:v>
      </x:c>
      <x:c r="M40" s="33" t="str">
        <x:f>IF(E40="","CHỜ NHẬP","ĐÃ CÓ DỮ LIỆU")</x:f>
        <x:v>ĐÃ CÓ DỮ LIỆU</x:v>
      </x:c>
      <x:c r="N40" s="33" t="str">
        <x:f>IF(AND(B40="",E40=""),"",IF(A40="","THIẾU ID",IF(COUNTIF($A$8:$A$65,A40)&gt;1,"TRÙNG ID",IF(COUNTIF(HANG_MUC!$A$6:$A$50,B40)=0,"SAI HẠNG MỤC","OK"))))</x:f>
        <x:v>OK</x:v>
      </x:c>
    </x:row>
    <x:row r="41">
      <x:c r="A41" s="33" t="str">
        <x:f>IF(OR(B41="",D41=""),"",B41&amp;"-"&amp;IF(OR(C41="",C41="-"),"X",UPPER(C41))&amp;"-"&amp;TEXT(D41,"00"))</x:f>
        <x:v>BB-DOI-NAMNU45-A-02</x:v>
      </x:c>
      <x:c r="B41" s="26" t="str">
        <x:v>BB-DOI-NAMNU45</x:v>
      </x:c>
      <x:c r="C41" s="26" t="str">
        <x:v>A</x:v>
      </x:c>
      <x:c r="D41" s="35" t="n">
        <x:v>2</x:v>
      </x:c>
      <x:c r="E41" s="28" t="str">
        <x:v>Trần Văn Ninh</x:v>
      </x:c>
      <x:c r="F41" s="28" t="str">
        <x:v>Dương Thị Ngọc Lan</x:v>
      </x:c>
      <x:c r="G41" s="28" t="str"/>
      <x:c r="H41" s="28" t="str"/>
      <x:c r="I41" s="28" t="str"/>
      <x:c r="J41" s="28" t="str">
        <x:v>PPS</x:v>
      </x:c>
      <x:c r="K41" s="28" t="str"/>
      <x:c r="L41" s="33" t="n">
        <x:v>7</x:v>
      </x:c>
      <x:c r="M41" s="33" t="str">
        <x:f>IF(E41="","CHỜ NHẬP","ĐÃ CÓ DỮ LIỆU")</x:f>
        <x:v>ĐÃ CÓ DỮ LIỆU</x:v>
      </x:c>
      <x:c r="N41" s="33" t="str">
        <x:f>IF(AND(B41="",E41=""),"",IF(A41="","THIẾU ID",IF(COUNTIF($A$8:$A$65,A41)&gt;1,"TRÙNG ID",IF(COUNTIF(HANG_MUC!$A$6:$A$50,B41)=0,"SAI HẠNG MỤC","OK"))))</x:f>
        <x:v>OK</x:v>
      </x:c>
    </x:row>
    <x:row r="42">
      <x:c r="A42" s="33" t="str">
        <x:f>IF(OR(B42="",D42=""),"",B42&amp;"-"&amp;IF(OR(C42="",C42="-"),"X",UPPER(C42))&amp;"-"&amp;TEXT(D42,"00"))</x:f>
        <x:v>BB-DOI-NAMNU45-A-03</x:v>
      </x:c>
      <x:c r="B42" s="26" t="str">
        <x:v>BB-DOI-NAMNU45</x:v>
      </x:c>
      <x:c r="C42" s="26" t="str">
        <x:v>A</x:v>
      </x:c>
      <x:c r="D42" s="35" t="n">
        <x:v>3</x:v>
      </x:c>
      <x:c r="E42" s="28" t="str">
        <x:v>Trần Văn Lực</x:v>
      </x:c>
      <x:c r="F42" s="28" t="str">
        <x:v>Lê Thị Thúy Quỳnh</x:v>
      </x:c>
      <x:c r="G42" s="28" t="str"/>
      <x:c r="H42" s="28" t="str"/>
      <x:c r="I42" s="28" t="str"/>
      <x:c r="J42" s="28" t="str">
        <x:v>PTSC M&amp;C</x:v>
      </x:c>
      <x:c r="K42" s="28" t="str"/>
      <x:c r="L42" s="33" t="n">
        <x:v>7</x:v>
      </x:c>
      <x:c r="M42" s="33" t="str">
        <x:f>IF(E42="","CHỜ NHẬP","ĐÃ CÓ DỮ LIỆU")</x:f>
        <x:v>ĐÃ CÓ DỮ LIỆU</x:v>
      </x:c>
      <x:c r="N42" s="33" t="str">
        <x:f>IF(AND(B42="",E42=""),"",IF(A42="","THIẾU ID",IF(COUNTIF($A$8:$A$65,A42)&gt;1,"TRÙNG ID",IF(COUNTIF(HANG_MUC!$A$6:$A$50,B42)=0,"SAI HẠNG MỤC","OK"))))</x:f>
        <x:v>OK</x:v>
      </x:c>
    </x:row>
    <x:row r="43">
      <x:c r="A43" s="33" t="str">
        <x:f>IF(OR(B43="",D43=""),"",B43&amp;"-"&amp;IF(OR(C43="",C43="-"),"X",UPPER(C43))&amp;"-"&amp;TEXT(D43,"00"))</x:f>
        <x:v>BB-DOI-NAMNU45-B-01</x:v>
      </x:c>
      <x:c r="B43" s="26" t="str">
        <x:v>BB-DOI-NAMNU45</x:v>
      </x:c>
      <x:c r="C43" s="26" t="str">
        <x:v>B</x:v>
      </x:c>
      <x:c r="D43" s="35" t="n">
        <x:v>1</x:v>
      </x:c>
      <x:c r="E43" s="28" t="str">
        <x:v>Văn Thị Hà</x:v>
      </x:c>
      <x:c r="F43" s="28" t="str">
        <x:v>Nguyễn Hồng Giang</x:v>
      </x:c>
      <x:c r="G43" s="28" t="str"/>
      <x:c r="H43" s="28" t="str"/>
      <x:c r="I43" s="28" t="str"/>
      <x:c r="J43" s="28" t="str">
        <x:v>PTSC Thanh Hoá</x:v>
      </x:c>
      <x:c r="K43" s="28" t="str"/>
      <x:c r="L43" s="33" t="n">
        <x:v>7</x:v>
      </x:c>
      <x:c r="M43" s="33" t="str">
        <x:f>IF(E43="","CHỜ NHẬP","ĐÃ CÓ DỮ LIỆU")</x:f>
        <x:v>ĐÃ CÓ DỮ LIỆU</x:v>
      </x:c>
      <x:c r="N43" s="33" t="str">
        <x:f>IF(AND(B43="",E43=""),"",IF(A43="","THIẾU ID",IF(COUNTIF($A$8:$A$65,A43)&gt;1,"TRÙNG ID",IF(COUNTIF(HANG_MUC!$A$6:$A$50,B43)=0,"SAI HẠNG MỤC","OK"))))</x:f>
        <x:v>OK</x:v>
      </x:c>
    </x:row>
    <x:row r="44">
      <x:c r="A44" s="33" t="str">
        <x:f>IF(OR(B44="",D44=""),"",B44&amp;"-"&amp;IF(OR(C44="",C44="-"),"X",UPPER(C44))&amp;"-"&amp;TEXT(D44,"00"))</x:f>
        <x:v>BB-DOI-NAMNU45-B-02</x:v>
      </x:c>
      <x:c r="B44" s="26" t="str">
        <x:v>BB-DOI-NAMNU45</x:v>
      </x:c>
      <x:c r="C44" s="26" t="str">
        <x:v>B</x:v>
      </x:c>
      <x:c r="D44" s="35" t="n">
        <x:v>2</x:v>
      </x:c>
      <x:c r="E44" s="28" t="str">
        <x:v>Hồ Đức Kỳ</x:v>
      </x:c>
      <x:c r="F44" s="28" t="str">
        <x:v>Phạm Thị Lan</x:v>
      </x:c>
      <x:c r="G44" s="28" t="str"/>
      <x:c r="H44" s="28" t="str"/>
      <x:c r="I44" s="28" t="str"/>
      <x:c r="J44" s="28" t="str">
        <x:v>PTSC M&amp;C</x:v>
      </x:c>
      <x:c r="K44" s="28" t="str"/>
      <x:c r="L44" s="33" t="n">
        <x:v>7</x:v>
      </x:c>
      <x:c r="M44" s="33" t="str">
        <x:f>IF(E44="","CHỜ NHẬP","ĐÃ CÓ DỮ LIỆU")</x:f>
        <x:v>ĐÃ CÓ DỮ LIỆU</x:v>
      </x:c>
      <x:c r="N44" s="33" t="str">
        <x:f>IF(AND(B44="",E44=""),"",IF(A44="","THIẾU ID",IF(COUNTIF($A$8:$A$65,A44)&gt;1,"TRÙNG ID",IF(COUNTIF(HANG_MUC!$A$6:$A$50,B44)=0,"SAI HẠNG MỤC","OK"))))</x:f>
        <x:v>OK</x:v>
      </x:c>
    </x:row>
    <x:row r="45">
      <x:c r="A45" s="33" t="str">
        <x:f>IF(OR(B45="",D45=""),"",B45&amp;"-"&amp;IF(OR(C45="",C45="-"),"X",UPPER(C45))&amp;"-"&amp;TEXT(D45,"00"))</x:f>
        <x:v>BB-DOI-NAMNU45-B-03</x:v>
      </x:c>
      <x:c r="B45" s="26" t="str">
        <x:v>BB-DOI-NAMNU45</x:v>
      </x:c>
      <x:c r="C45" s="26" t="str">
        <x:v>B</x:v>
      </x:c>
      <x:c r="D45" s="35" t="n">
        <x:v>3</x:v>
      </x:c>
      <x:c r="E45" s="28" t="str">
        <x:v>Phạm Việt Hùng</x:v>
      </x:c>
      <x:c r="F45" s="28" t="str">
        <x:v>Mai Thùy Trang</x:v>
      </x:c>
      <x:c r="G45" s="28" t="str"/>
      <x:c r="H45" s="28" t="str"/>
      <x:c r="I45" s="28" t="str"/>
      <x:c r="J45" s="28" t="str">
        <x:v>PPS</x:v>
      </x:c>
      <x:c r="K45" s="28" t="str"/>
      <x:c r="L45" s="33" t="n">
        <x:v>7</x:v>
      </x:c>
      <x:c r="M45" s="33" t="str">
        <x:f>IF(E45="","CHỜ NHẬP","ĐÃ CÓ DỮ LIỆU")</x:f>
        <x:v>ĐÃ CÓ DỮ LIỆU</x:v>
      </x:c>
      <x:c r="N45" s="33" t="str">
        <x:f>IF(AND(B45="",E45=""),"",IF(A45="","THIẾU ID",IF(COUNTIF($A$8:$A$65,A45)&gt;1,"TRÙNG ID",IF(COUNTIF(HANG_MUC!$A$6:$A$50,B45)=0,"SAI HẠNG MỤC","OK"))))</x:f>
        <x:v>OK</x:v>
      </x:c>
    </x:row>
    <x:row r="46">
      <x:c r="A46" s="33" t="str">
        <x:f>IF(OR(B46="",D46=""),"",B46&amp;"-"&amp;IF(OR(C46="",C46="-"),"X",UPPER(C46))&amp;"-"&amp;TEXT(D46,"00"))</x:f>
      </x:c>
      <x:c r="B46" s="26"/>
      <x:c r="C46" s="26"/>
      <x:c r="D46" s="35"/>
      <x:c r="E46" s="28"/>
      <x:c r="F46" s="28"/>
      <x:c r="G46" s="28"/>
      <x:c r="H46" s="28"/>
      <x:c r="I46" s="28"/>
      <x:c r="J46" s="28"/>
      <x:c r="K46" s="28"/>
      <x:c r="L46" s="33"/>
      <x:c r="M46" s="33" t="str">
        <x:f>IF(E46="","CHỜ NHẬP","ĐÃ CÓ DỮ LIỆU")</x:f>
        <x:v>CHỜ NHẬP</x:v>
      </x:c>
      <x:c r="N46" s="33" t="str">
        <x:f>IF(AND(B46="",E46=""),"",IF(A46="","THIẾU ID",IF(COUNTIF($A$8:$A$65,A46)&gt;1,"TRÙNG ID",IF(COUNTIF(HANG_MUC!$A$6:$A$50,B46)=0,"SAI HẠNG MỤC","OK"))))</x:f>
      </x:c>
    </x:row>
    <x:row r="47">
      <x:c r="A47" s="33" t="str">
        <x:f>IF(OR(B47="",D47=""),"",B47&amp;"-"&amp;IF(OR(C47="",C47="-"),"X",UPPER(C47))&amp;"-"&amp;TEXT(D47,"00"))</x:f>
      </x:c>
      <x:c r="B47" s="26"/>
      <x:c r="C47" s="26"/>
      <x:c r="D47" s="35"/>
      <x:c r="E47" s="28"/>
      <x:c r="F47" s="28"/>
      <x:c r="G47" s="28"/>
      <x:c r="H47" s="28"/>
      <x:c r="I47" s="28"/>
      <x:c r="J47" s="28"/>
      <x:c r="K47" s="28"/>
      <x:c r="L47" s="33"/>
      <x:c r="M47" s="33" t="str">
        <x:f>IF(E47="","CHỜ NHẬP","ĐÃ CÓ DỮ LIỆU")</x:f>
        <x:v>CHỜ NHẬP</x:v>
      </x:c>
      <x:c r="N47" s="33" t="str">
        <x:f>IF(AND(B47="",E47=""),"",IF(A47="","THIẾU ID",IF(COUNTIF($A$8:$A$65,A47)&gt;1,"TRÙNG ID",IF(COUNTIF(HANG_MUC!$A$6:$A$50,B47)=0,"SAI HẠNG MỤC","OK"))))</x:f>
      </x:c>
    </x:row>
    <x:row r="48">
      <x:c r="A48" s="33" t="str">
        <x:f>IF(OR(B48="",D48=""),"",B48&amp;"-"&amp;IF(OR(C48="",C48="-"),"X",UPPER(C48))&amp;"-"&amp;TEXT(D48,"00"))</x:f>
      </x:c>
      <x:c r="B48" s="26"/>
      <x:c r="C48" s="26"/>
      <x:c r="D48" s="35"/>
      <x:c r="E48" s="28"/>
      <x:c r="F48" s="28"/>
      <x:c r="G48" s="28"/>
      <x:c r="H48" s="28"/>
      <x:c r="I48" s="28"/>
      <x:c r="J48" s="28"/>
      <x:c r="K48" s="28"/>
      <x:c r="L48" s="33"/>
      <x:c r="M48" s="33" t="str">
        <x:f>IF(E48="","CHỜ NHẬP","ĐÃ CÓ DỮ LIỆU")</x:f>
        <x:v>CHỜ NHẬP</x:v>
      </x:c>
      <x:c r="N48" s="33" t="str">
        <x:f>IF(AND(B48="",E48=""),"",IF(A48="","THIẾU ID",IF(COUNTIF($A$8:$A$65,A48)&gt;1,"TRÙNG ID",IF(COUNTIF(HANG_MUC!$A$6:$A$50,B48)=0,"SAI HẠNG MỤC","OK"))))</x:f>
      </x:c>
    </x:row>
    <x:row r="49">
      <x:c r="A49" s="33" t="str">
        <x:f>IF(OR(B49="",D49=""),"",B49&amp;"-"&amp;IF(OR(C49="",C49="-"),"X",UPPER(C49))&amp;"-"&amp;TEXT(D49,"00"))</x:f>
      </x:c>
      <x:c r="B49" s="26"/>
      <x:c r="C49" s="26"/>
      <x:c r="D49" s="35"/>
      <x:c r="E49" s="28"/>
      <x:c r="F49" s="28"/>
      <x:c r="G49" s="28"/>
      <x:c r="H49" s="28"/>
      <x:c r="I49" s="28"/>
      <x:c r="J49" s="28"/>
      <x:c r="K49" s="28"/>
      <x:c r="L49" s="33"/>
      <x:c r="M49" s="33" t="str">
        <x:f>IF(E49="","CHỜ NHẬP","ĐÃ CÓ DỮ LIỆU")</x:f>
        <x:v>CHỜ NHẬP</x:v>
      </x:c>
      <x:c r="N49" s="33" t="str">
        <x:f>IF(AND(B49="",E49=""),"",IF(A49="","THIẾU ID",IF(COUNTIF($A$8:$A$65,A49)&gt;1,"TRÙNG ID",IF(COUNTIF(HANG_MUC!$A$6:$A$50,B49)=0,"SAI HẠNG MỤC","OK"))))</x:f>
      </x:c>
    </x:row>
    <x:row r="50">
      <x:c r="A50" s="33" t="str">
        <x:f>IF(OR(B50="",D50=""),"",B50&amp;"-"&amp;IF(OR(C50="",C50="-"),"X",UPPER(C50))&amp;"-"&amp;TEXT(D50,"00"))</x:f>
      </x:c>
      <x:c r="B50" s="26"/>
      <x:c r="C50" s="26"/>
      <x:c r="D50" s="35"/>
      <x:c r="E50" s="28"/>
      <x:c r="F50" s="28"/>
      <x:c r="G50" s="28"/>
      <x:c r="H50" s="28"/>
      <x:c r="I50" s="28"/>
      <x:c r="J50" s="28"/>
      <x:c r="K50" s="28"/>
      <x:c r="L50" s="33"/>
      <x:c r="M50" s="33" t="str">
        <x:f>IF(E50="","CHỜ NHẬP","ĐÃ CÓ DỮ LIỆU")</x:f>
        <x:v>CHỜ NHẬP</x:v>
      </x:c>
      <x:c r="N50" s="33" t="str">
        <x:f>IF(AND(B50="",E50=""),"",IF(A50="","THIẾU ID",IF(COUNTIF($A$8:$A$65,A50)&gt;1,"TRÙNG ID",IF(COUNTIF(HANG_MUC!$A$6:$A$50,B50)=0,"SAI HẠNG MỤC","OK"))))</x:f>
      </x:c>
    </x:row>
    <x:row r="51">
      <x:c r="A51" s="33" t="str">
        <x:f>IF(OR(B51="",D51=""),"",B51&amp;"-"&amp;IF(OR(C51="",C51="-"),"X",UPPER(C51))&amp;"-"&amp;TEXT(D51,"00"))</x:f>
      </x:c>
      <x:c r="B51" s="26"/>
      <x:c r="C51" s="26"/>
      <x:c r="D51" s="35"/>
      <x:c r="E51" s="28"/>
      <x:c r="F51" s="28"/>
      <x:c r="G51" s="28"/>
      <x:c r="H51" s="28"/>
      <x:c r="I51" s="28"/>
      <x:c r="J51" s="28"/>
      <x:c r="K51" s="28"/>
      <x:c r="L51" s="33"/>
      <x:c r="M51" s="33" t="str">
        <x:f>IF(E51="","CHỜ NHẬP","ĐÃ CÓ DỮ LIỆU")</x:f>
        <x:v>CHỜ NHẬP</x:v>
      </x:c>
      <x:c r="N51" s="33" t="str">
        <x:f>IF(AND(B51="",E51=""),"",IF(A51="","THIẾU ID",IF(COUNTIF($A$8:$A$65,A51)&gt;1,"TRÙNG ID",IF(COUNTIF(HANG_MUC!$A$6:$A$50,B51)=0,"SAI HẠNG MỤC","OK"))))</x:f>
      </x:c>
    </x:row>
    <x:row r="52">
      <x:c r="A52" s="33" t="str">
        <x:f>IF(OR(B52="",D52=""),"",B52&amp;"-"&amp;IF(OR(C52="",C52="-"),"X",UPPER(C52))&amp;"-"&amp;TEXT(D52,"00"))</x:f>
      </x:c>
      <x:c r="B52" s="26"/>
      <x:c r="C52" s="26"/>
      <x:c r="D52" s="35"/>
      <x:c r="E52" s="28"/>
      <x:c r="F52" s="28"/>
      <x:c r="G52" s="28"/>
      <x:c r="H52" s="28"/>
      <x:c r="I52" s="28"/>
      <x:c r="J52" s="28"/>
      <x:c r="K52" s="28"/>
      <x:c r="L52" s="33"/>
      <x:c r="M52" s="33" t="str">
        <x:f>IF(E52="","CHỜ NHẬP","ĐÃ CÓ DỮ LIỆU")</x:f>
        <x:v>CHỜ NHẬP</x:v>
      </x:c>
      <x:c r="N52" s="33" t="str">
        <x:f>IF(AND(B52="",E52=""),"",IF(A52="","THIẾU ID",IF(COUNTIF($A$8:$A$65,A52)&gt;1,"TRÙNG ID",IF(COUNTIF(HANG_MUC!$A$6:$A$50,B52)=0,"SAI HẠNG MỤC","OK"))))</x:f>
      </x:c>
    </x:row>
    <x:row r="53">
      <x:c r="A53" s="33" t="str">
        <x:f>IF(OR(B53="",D53=""),"",B53&amp;"-"&amp;IF(OR(C53="",C53="-"),"X",UPPER(C53))&amp;"-"&amp;TEXT(D53,"00"))</x:f>
      </x:c>
      <x:c r="B53" s="26"/>
      <x:c r="C53" s="26"/>
      <x:c r="D53" s="35"/>
      <x:c r="E53" s="28"/>
      <x:c r="F53" s="28"/>
      <x:c r="G53" s="28"/>
      <x:c r="H53" s="28"/>
      <x:c r="I53" s="28"/>
      <x:c r="J53" s="28"/>
      <x:c r="K53" s="28"/>
      <x:c r="L53" s="33"/>
      <x:c r="M53" s="33" t="str">
        <x:f>IF(E53="","CHỜ NHẬP","ĐÃ CÓ DỮ LIỆU")</x:f>
        <x:v>CHỜ NHẬP</x:v>
      </x:c>
      <x:c r="N53" s="33" t="str">
        <x:f>IF(AND(B53="",E53=""),"",IF(A53="","THIẾU ID",IF(COUNTIF($A$8:$A$65,A53)&gt;1,"TRÙNG ID",IF(COUNTIF(HANG_MUC!$A$6:$A$50,B53)=0,"SAI HẠNG MỤC","OK"))))</x:f>
      </x:c>
    </x:row>
    <x:row r="54">
      <x:c r="A54" s="33" t="str">
        <x:f>IF(OR(B54="",D54=""),"",B54&amp;"-"&amp;IF(OR(C54="",C54="-"),"X",UPPER(C54))&amp;"-"&amp;TEXT(D54,"00"))</x:f>
      </x:c>
      <x:c r="B54" s="26"/>
      <x:c r="C54" s="26"/>
      <x:c r="D54" s="35"/>
      <x:c r="E54" s="28"/>
      <x:c r="F54" s="28"/>
      <x:c r="G54" s="28"/>
      <x:c r="H54" s="28"/>
      <x:c r="I54" s="28"/>
      <x:c r="J54" s="28"/>
      <x:c r="K54" s="28"/>
      <x:c r="L54" s="33"/>
      <x:c r="M54" s="33" t="str">
        <x:f>IF(E54="","CHỜ NHẬP","ĐÃ CÓ DỮ LIỆU")</x:f>
        <x:v>CHỜ NHẬP</x:v>
      </x:c>
      <x:c r="N54" s="33" t="str">
        <x:f>IF(AND(B54="",E54=""),"",IF(A54="","THIẾU ID",IF(COUNTIF($A$8:$A$65,A54)&gt;1,"TRÙNG ID",IF(COUNTIF(HANG_MUC!$A$6:$A$50,B54)=0,"SAI HẠNG MỤC","OK"))))</x:f>
      </x:c>
    </x:row>
    <x:row r="55">
      <x:c r="A55" s="33" t="str">
        <x:f>IF(OR(B55="",D55=""),"",B55&amp;"-"&amp;IF(OR(C55="",C55="-"),"X",UPPER(C55))&amp;"-"&amp;TEXT(D55,"00"))</x:f>
      </x:c>
      <x:c r="B55" s="26"/>
      <x:c r="C55" s="26"/>
      <x:c r="D55" s="35"/>
      <x:c r="E55" s="28"/>
      <x:c r="F55" s="28"/>
      <x:c r="G55" s="28"/>
      <x:c r="H55" s="28"/>
      <x:c r="I55" s="28"/>
      <x:c r="J55" s="28"/>
      <x:c r="K55" s="28"/>
      <x:c r="L55" s="33"/>
      <x:c r="M55" s="33" t="str">
        <x:f>IF(E55="","CHỜ NHẬP","ĐÃ CÓ DỮ LIỆU")</x:f>
        <x:v>CHỜ NHẬP</x:v>
      </x:c>
      <x:c r="N55" s="33" t="str">
        <x:f>IF(AND(B55="",E55=""),"",IF(A55="","THIẾU ID",IF(COUNTIF($A$8:$A$65,A55)&gt;1,"TRÙNG ID",IF(COUNTIF(HANG_MUC!$A$6:$A$50,B55)=0,"SAI HẠNG MỤC","OK"))))</x:f>
      </x:c>
    </x:row>
    <x:row r="56">
      <x:c r="A56" s="33" t="str">
        <x:f>IF(OR(B56="",D56=""),"",B56&amp;"-"&amp;IF(OR(C56="",C56="-"),"X",UPPER(C56))&amp;"-"&amp;TEXT(D56,"00"))</x:f>
      </x:c>
      <x:c r="B56" s="26"/>
      <x:c r="C56" s="26"/>
      <x:c r="D56" s="35"/>
      <x:c r="E56" s="28"/>
      <x:c r="F56" s="28"/>
      <x:c r="G56" s="28"/>
      <x:c r="H56" s="28"/>
      <x:c r="I56" s="28"/>
      <x:c r="J56" s="28"/>
      <x:c r="K56" s="28"/>
      <x:c r="L56" s="33"/>
      <x:c r="M56" s="33" t="str">
        <x:f>IF(E56="","CHỜ NHẬP","ĐÃ CÓ DỮ LIỆU")</x:f>
        <x:v>CHỜ NHẬP</x:v>
      </x:c>
      <x:c r="N56" s="33" t="str">
        <x:f>IF(AND(B56="",E56=""),"",IF(A56="","THIẾU ID",IF(COUNTIF($A$8:$A$65,A56)&gt;1,"TRÙNG ID",IF(COUNTIF(HANG_MUC!$A$6:$A$50,B56)=0,"SAI HẠNG MỤC","OK"))))</x:f>
      </x:c>
    </x:row>
    <x:row r="57">
      <x:c r="A57" s="33" t="str">
        <x:f>IF(OR(B57="",D57=""),"",B57&amp;"-"&amp;IF(OR(C57="",C57="-"),"X",UPPER(C57))&amp;"-"&amp;TEXT(D57,"00"))</x:f>
      </x:c>
      <x:c r="B57" s="26"/>
      <x:c r="C57" s="26"/>
      <x:c r="D57" s="35"/>
      <x:c r="E57" s="28"/>
      <x:c r="F57" s="28"/>
      <x:c r="G57" s="28"/>
      <x:c r="H57" s="28"/>
      <x:c r="I57" s="28"/>
      <x:c r="J57" s="28"/>
      <x:c r="K57" s="28"/>
      <x:c r="L57" s="33"/>
      <x:c r="M57" s="33" t="str">
        <x:f>IF(E57="","CHỜ NHẬP","ĐÃ CÓ DỮ LIỆU")</x:f>
        <x:v>CHỜ NHẬP</x:v>
      </x:c>
      <x:c r="N57" s="33" t="str">
        <x:f>IF(AND(B57="",E57=""),"",IF(A57="","THIẾU ID",IF(COUNTIF($A$8:$A$65,A57)&gt;1,"TRÙNG ID",IF(COUNTIF(HANG_MUC!$A$6:$A$50,B57)=0,"SAI HẠNG MỤC","OK"))))</x:f>
      </x:c>
    </x:row>
    <x:row r="58">
      <x:c r="A58" s="33" t="str">
        <x:f>IF(OR(B58="",D58=""),"",B58&amp;"-"&amp;IF(OR(C58="",C58="-"),"X",UPPER(C58))&amp;"-"&amp;TEXT(D58,"00"))</x:f>
      </x:c>
      <x:c r="B58" s="26"/>
      <x:c r="C58" s="26"/>
      <x:c r="D58" s="35"/>
      <x:c r="E58" s="28"/>
      <x:c r="F58" s="28"/>
      <x:c r="G58" s="28"/>
      <x:c r="H58" s="28"/>
      <x:c r="I58" s="28"/>
      <x:c r="J58" s="28"/>
      <x:c r="K58" s="28"/>
      <x:c r="L58" s="33"/>
      <x:c r="M58" s="33" t="str">
        <x:f>IF(E58="","CHỜ NHẬP","ĐÃ CÓ DỮ LIỆU")</x:f>
        <x:v>CHỜ NHẬP</x:v>
      </x:c>
      <x:c r="N58" s="33" t="str">
        <x:f>IF(AND(B58="",E58=""),"",IF(A58="","THIẾU ID",IF(COUNTIF($A$8:$A$65,A58)&gt;1,"TRÙNG ID",IF(COUNTIF(HANG_MUC!$A$6:$A$50,B58)=0,"SAI HẠNG MỤC","OK"))))</x:f>
      </x:c>
    </x:row>
    <x:row r="59">
      <x:c r="A59" s="33" t="str">
        <x:f>IF(OR(B59="",D59=""),"",B59&amp;"-"&amp;IF(OR(C59="",C59="-"),"X",UPPER(C59))&amp;"-"&amp;TEXT(D59,"00"))</x:f>
      </x:c>
      <x:c r="B59" s="26"/>
      <x:c r="C59" s="26"/>
      <x:c r="D59" s="35"/>
      <x:c r="E59" s="28"/>
      <x:c r="F59" s="28"/>
      <x:c r="G59" s="28"/>
      <x:c r="H59" s="28"/>
      <x:c r="I59" s="28"/>
      <x:c r="J59" s="28"/>
      <x:c r="K59" s="28"/>
      <x:c r="L59" s="33"/>
      <x:c r="M59" s="33" t="str">
        <x:f>IF(E59="","CHỜ NHẬP","ĐÃ CÓ DỮ LIỆU")</x:f>
        <x:v>CHỜ NHẬP</x:v>
      </x:c>
      <x:c r="N59" s="33" t="str">
        <x:f>IF(AND(B59="",E59=""),"",IF(A59="","THIẾU ID",IF(COUNTIF($A$8:$A$65,A59)&gt;1,"TRÙNG ID",IF(COUNTIF(HANG_MUC!$A$6:$A$50,B59)=0,"SAI HẠNG MỤC","OK"))))</x:f>
      </x:c>
    </x:row>
    <x:row r="60">
      <x:c r="A60" s="33" t="str">
        <x:f>IF(OR(B60="",D60=""),"",B60&amp;"-"&amp;IF(OR(C60="",C60="-"),"X",UPPER(C60))&amp;"-"&amp;TEXT(D60,"00"))</x:f>
      </x:c>
      <x:c r="B60" s="26"/>
      <x:c r="C60" s="26"/>
      <x:c r="D60" s="35"/>
      <x:c r="E60" s="28"/>
      <x:c r="F60" s="28"/>
      <x:c r="G60" s="28"/>
      <x:c r="H60" s="28"/>
      <x:c r="I60" s="28"/>
      <x:c r="J60" s="28"/>
      <x:c r="K60" s="28"/>
      <x:c r="L60" s="33"/>
      <x:c r="M60" s="33" t="str">
        <x:f>IF(E60="","CHỜ NHẬP","ĐÃ CÓ DỮ LIỆU")</x:f>
        <x:v>CHỜ NHẬP</x:v>
      </x:c>
      <x:c r="N60" s="33" t="str">
        <x:f>IF(AND(B60="",E60=""),"",IF(A60="","THIẾU ID",IF(COUNTIF($A$8:$A$65,A60)&gt;1,"TRÙNG ID",IF(COUNTIF(HANG_MUC!$A$6:$A$50,B60)=0,"SAI HẠNG MỤC","OK"))))</x:f>
      </x:c>
    </x:row>
    <x:row r="61">
      <x:c r="A61" s="33" t="str">
        <x:f>IF(OR(B61="",D61=""),"",B61&amp;"-"&amp;IF(OR(C61="",C61="-"),"X",UPPER(C61))&amp;"-"&amp;TEXT(D61,"00"))</x:f>
      </x:c>
      <x:c r="B61" s="26"/>
      <x:c r="C61" s="26"/>
      <x:c r="D61" s="35"/>
      <x:c r="E61" s="28"/>
      <x:c r="F61" s="28"/>
      <x:c r="G61" s="28"/>
      <x:c r="H61" s="28"/>
      <x:c r="I61" s="28"/>
      <x:c r="J61" s="28"/>
      <x:c r="K61" s="28"/>
      <x:c r="L61" s="33"/>
      <x:c r="M61" s="33" t="str">
        <x:f>IF(E61="","CHỜ NHẬP","ĐÃ CÓ DỮ LIỆU")</x:f>
        <x:v>CHỜ NHẬP</x:v>
      </x:c>
      <x:c r="N61" s="33" t="str">
        <x:f>IF(AND(B61="",E61=""),"",IF(A61="","THIẾU ID",IF(COUNTIF($A$8:$A$65,A61)&gt;1,"TRÙNG ID",IF(COUNTIF(HANG_MUC!$A$6:$A$50,B61)=0,"SAI HẠNG MỤC","OK"))))</x:f>
      </x:c>
    </x:row>
    <x:row r="62">
      <x:c r="A62" s="33" t="str">
        <x:f>IF(OR(B62="",D62=""),"",B62&amp;"-"&amp;IF(OR(C62="",C62="-"),"X",UPPER(C62))&amp;"-"&amp;TEXT(D62,"00"))</x:f>
      </x:c>
      <x:c r="B62" s="26"/>
      <x:c r="C62" s="26"/>
      <x:c r="D62" s="35"/>
      <x:c r="E62" s="28"/>
      <x:c r="F62" s="28"/>
      <x:c r="G62" s="28"/>
      <x:c r="H62" s="28"/>
      <x:c r="I62" s="28"/>
      <x:c r="J62" s="28"/>
      <x:c r="K62" s="28"/>
      <x:c r="L62" s="33"/>
      <x:c r="M62" s="33" t="str">
        <x:f>IF(E62="","CHỜ NHẬP","ĐÃ CÓ DỮ LIỆU")</x:f>
        <x:v>CHỜ NHẬP</x:v>
      </x:c>
      <x:c r="N62" s="33" t="str">
        <x:f>IF(AND(B62="",E62=""),"",IF(A62="","THIẾU ID",IF(COUNTIF($A$8:$A$65,A62)&gt;1,"TRÙNG ID",IF(COUNTIF(HANG_MUC!$A$6:$A$50,B62)=0,"SAI HẠNG MỤC","OK"))))</x:f>
      </x:c>
    </x:row>
    <x:row r="63">
      <x:c r="A63" s="33" t="str">
        <x:f>IF(OR(B63="",D63=""),"",B63&amp;"-"&amp;IF(OR(C63="",C63="-"),"X",UPPER(C63))&amp;"-"&amp;TEXT(D63,"00"))</x:f>
      </x:c>
      <x:c r="B63" s="26"/>
      <x:c r="C63" s="26"/>
      <x:c r="D63" s="35"/>
      <x:c r="E63" s="28"/>
      <x:c r="F63" s="28"/>
      <x:c r="G63" s="28"/>
      <x:c r="H63" s="28"/>
      <x:c r="I63" s="28"/>
      <x:c r="J63" s="28"/>
      <x:c r="K63" s="28"/>
      <x:c r="L63" s="33"/>
      <x:c r="M63" s="33" t="str">
        <x:f>IF(E63="","CHỜ NHẬP","ĐÃ CÓ DỮ LIỆU")</x:f>
        <x:v>CHỜ NHẬP</x:v>
      </x:c>
      <x:c r="N63" s="33" t="str">
        <x:f>IF(AND(B63="",E63=""),"",IF(A63="","THIẾU ID",IF(COUNTIF($A$8:$A$65,A63)&gt;1,"TRÙNG ID",IF(COUNTIF(HANG_MUC!$A$6:$A$50,B63)=0,"SAI HẠNG MỤC","OK"))))</x:f>
      </x:c>
    </x:row>
    <x:row r="64">
      <x:c r="A64" s="33" t="str">
        <x:f>IF(OR(B64="",D64=""),"",B64&amp;"-"&amp;IF(OR(C64="",C64="-"),"X",UPPER(C64))&amp;"-"&amp;TEXT(D64,"00"))</x:f>
      </x:c>
      <x:c r="B64" s="26"/>
      <x:c r="C64" s="26"/>
      <x:c r="D64" s="35"/>
      <x:c r="E64" s="28"/>
      <x:c r="F64" s="28"/>
      <x:c r="G64" s="28"/>
      <x:c r="H64" s="28"/>
      <x:c r="I64" s="28"/>
      <x:c r="J64" s="28"/>
      <x:c r="K64" s="28"/>
      <x:c r="L64" s="33"/>
      <x:c r="M64" s="33" t="str">
        <x:f>IF(E64="","CHỜ NHẬP","ĐÃ CÓ DỮ LIỆU")</x:f>
        <x:v>CHỜ NHẬP</x:v>
      </x:c>
      <x:c r="N64" s="33" t="str">
        <x:f>IF(AND(B64="",E64=""),"",IF(A64="","THIẾU ID",IF(COUNTIF($A$8:$A$65,A64)&gt;1,"TRÙNG ID",IF(COUNTIF(HANG_MUC!$A$6:$A$50,B64)=0,"SAI HẠNG MỤC","OK"))))</x:f>
      </x:c>
    </x:row>
    <x:row r="65">
      <x:c r="A65" s="33" t="str">
        <x:f>IF(OR(B65="",D65=""),"",B65&amp;"-"&amp;IF(OR(C65="",C65="-"),"X",UPPER(C65))&amp;"-"&amp;TEXT(D65,"00"))</x:f>
      </x:c>
      <x:c r="B65" s="26"/>
      <x:c r="C65" s="26"/>
      <x:c r="D65" s="35"/>
      <x:c r="E65" s="28"/>
      <x:c r="F65" s="28"/>
      <x:c r="G65" s="28"/>
      <x:c r="H65" s="28"/>
      <x:c r="I65" s="28"/>
      <x:c r="J65" s="28"/>
      <x:c r="K65" s="28"/>
      <x:c r="L65" s="33"/>
      <x:c r="M65" s="33" t="str">
        <x:f>IF(E65="","CHỜ NHẬP","ĐÃ CÓ DỮ LIỆU")</x:f>
        <x:v>CHỜ NHẬP</x:v>
      </x:c>
      <x:c r="N65" s="33" t="str">
        <x:f>IF(AND(B65="",E65=""),"",IF(A65="","THIẾU ID",IF(COUNTIF($A$8:$A$65,A65)&gt;1,"TRÙNG ID",IF(COUNTIF(HANG_MUC!$A$6:$A$50,B65)=0,"SAI HẠNG MỤC","OK"))))</x:f>
      </x:c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65">
    <x:cfRule type="containsText" dxfId="6" priority="1" operator="containsText" text="TRÙNG"/>
    <x:cfRule type="containsText" dxfId="7" priority="2" operator="containsText" text="SAI"/>
    <x:cfRule type="containsText" dxfId="8" priority="3" operator="containsText" text="THIẾU"/>
    <x:cfRule type="containsText" dxfId="9" priority="4" operator="containsText" text="OK"/>
  </x:conditionalFormatting>
  <x:conditionalFormatting sqref="M8:M65">
    <x:cfRule type="containsText" dxfId="10" priority="5" operator="containsText" text="CHỜ"/>
  </x:conditionalFormatting>
  <x:dataValidations count="3">
    <x:dataValidation type="list" sqref="B8:B65">
      <x:formula1>HANG_MUC!$A$10:$A$14</x:formula1>
    </x:dataValidation>
    <x:dataValidation type="list" sqref="C8:C65">
      <x:formula1>"-,A,B,C,D,E,F,G,H"</x:formula1>
    </x:dataValidation>
    <x:dataValidation type="whole" operator="between" sqref="D8:D65">
      <x:formula1>1</x:formula1>
      <x:formula2>999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Bóng đá nam 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BDNA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BDNA-DONGDOI-A-01</x:v>
      </x:c>
      <x:c r="B8" s="24" t="str">
        <x:v>BDNA-DONGDOI</x:v>
      </x:c>
      <x:c r="C8" s="24" t="str">
        <x:v>A</x:v>
      </x:c>
      <x:c r="D8" s="34" t="n">
        <x:v>1</x:v>
      </x:c>
      <x:c r="E8" s="27" t="str">
        <x:v>PTSC M&amp;C</x:v>
      </x:c>
      <x:c r="F8" s="27" t="str"/>
      <x:c r="G8" s="27" t="str"/>
      <x:c r="H8" s="27" t="str"/>
      <x:c r="I8" s="27" t="str"/>
      <x:c r="J8" s="27" t="str"/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ID",IF(COUNTIF($A$8:$A$33,A8)&gt;1,"TRÙNG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BDNA-DONGDOI-A-02</x:v>
      </x:c>
      <x:c r="B9" s="26" t="str">
        <x:v>BDNA-DONGDOI</x:v>
      </x:c>
      <x:c r="C9" s="26" t="str">
        <x:v>A</x:v>
      </x:c>
      <x:c r="D9" s="35" t="n">
        <x:v>2</x:v>
      </x:c>
      <x:c r="E9" s="28" t="str">
        <x:v>PTSC Thanh Hóa</x:v>
      </x:c>
      <x:c r="F9" s="28" t="str"/>
      <x:c r="G9" s="28" t="str"/>
      <x:c r="H9" s="28" t="str"/>
      <x:c r="I9" s="28" t="str"/>
      <x:c r="J9" s="28" t="str"/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ID",IF(COUNTIF($A$8:$A$33,A9)&gt;1,"TRÙNG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BDNA-DONGDOI-A-03</x:v>
      </x:c>
      <x:c r="B10" s="26" t="str">
        <x:v>BDNA-DONGDOI</x:v>
      </x:c>
      <x:c r="C10" s="26" t="str">
        <x:v>A</x:v>
      </x:c>
      <x:c r="D10" s="35" t="n">
        <x:v>3</x:v>
      </x:c>
      <x:c r="E10" s="28" t="str">
        <x:v>PTSC Đình Vũ</x:v>
      </x:c>
      <x:c r="F10" s="28" t="str"/>
      <x:c r="G10" s="28" t="str"/>
      <x:c r="H10" s="28" t="str"/>
      <x:c r="I10" s="28" t="str"/>
      <x:c r="J10" s="28" t="str"/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ID",IF(COUNTIF($A$8:$A$33,A10)&gt;1,"TRÙNG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BDNA-DONGDOI-B-01</x:v>
      </x:c>
      <x:c r="B11" s="26" t="str">
        <x:v>BDNA-DONGDOI</x:v>
      </x:c>
      <x:c r="C11" s="26" t="str">
        <x:v>B</x:v>
      </x:c>
      <x:c r="D11" s="35" t="n">
        <x:v>1</x:v>
      </x:c>
      <x:c r="E11" s="28" t="str">
        <x:v>PTSC Miền Trung</x:v>
      </x:c>
      <x:c r="F11" s="28" t="str"/>
      <x:c r="G11" s="28" t="str"/>
      <x:c r="H11" s="28" t="str"/>
      <x:c r="I11" s="28" t="str"/>
      <x:c r="J11" s="28" t="str"/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ID",IF(COUNTIF($A$8:$A$33,A11)&gt;1,"TRÙNG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BDNA-DONGDOI-B-02</x:v>
      </x:c>
      <x:c r="B12" s="26" t="str">
        <x:v>BDNA-DONGDOI</x:v>
      </x:c>
      <x:c r="C12" s="26" t="str">
        <x:v>B</x:v>
      </x:c>
      <x:c r="D12" s="35" t="n">
        <x:v>2</x:v>
      </x:c>
      <x:c r="E12" s="28" t="str">
        <x:v>PVShipyard</x:v>
      </x:c>
      <x:c r="F12" s="28" t="str"/>
      <x:c r="G12" s="28" t="str"/>
      <x:c r="H12" s="28" t="str"/>
      <x:c r="I12" s="28" t="str"/>
      <x:c r="J12" s="28" t="str"/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ID",IF(COUNTIF($A$8:$A$33,A12)&gt;1,"TRÙNG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BDNA-DONGDOI-B-03</x:v>
      </x:c>
      <x:c r="B13" s="26" t="str">
        <x:v>BDNA-DONGDOI</x:v>
      </x:c>
      <x:c r="C13" s="26" t="str">
        <x:v>B</x:v>
      </x:c>
      <x:c r="D13" s="35" t="n">
        <x:v>3</x:v>
      </x:c>
      <x:c r="E13" s="28" t="str">
        <x:v>PTSC Quảng Ngãi</x:v>
      </x:c>
      <x:c r="F13" s="28" t="str"/>
      <x:c r="G13" s="28" t="str"/>
      <x:c r="H13" s="28" t="str"/>
      <x:c r="I13" s="28" t="str"/>
      <x:c r="J13" s="28" t="str"/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ID",IF(COUNTIF($A$8:$A$33,A13)&gt;1,"TRÙNG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</x:c>
      <x:c r="B14" s="26"/>
      <x:c r="C14" s="26"/>
      <x:c r="D14" s="35"/>
      <x:c r="E14" s="28"/>
      <x:c r="F14" s="28"/>
      <x:c r="G14" s="28"/>
      <x:c r="H14" s="28"/>
      <x:c r="I14" s="28"/>
      <x:c r="J14" s="28"/>
      <x:c r="K14" s="28"/>
      <x:c r="L14" s="33"/>
      <x:c r="M14" s="33" t="str">
        <x:f>IF(E14="","CHỜ NHẬP","ĐÃ CÓ DỮ LIỆU")</x:f>
        <x:v>CHỜ NHẬP</x:v>
      </x:c>
      <x:c r="N14" s="33" t="str">
        <x:f>IF(AND(B14="",E14=""),"",IF(A14="","THIẾU ID",IF(COUNTIF($A$8:$A$33,A14)&gt;1,"TRÙNG ID",IF(COUNTIF(HANG_MUC!$A$6:$A$50,B14)=0,"SAI HẠNG MỤC","OK"))))</x:f>
      </x:c>
    </x:row>
    <x:row r="15">
      <x:c r="A15" s="33" t="str">
        <x:f>IF(OR(B15="",D15=""),"",B15&amp;"-"&amp;IF(OR(C15="",C15="-"),"X",UPPER(C15))&amp;"-"&amp;TEXT(D15,"00"))</x:f>
      </x:c>
      <x:c r="B15" s="26"/>
      <x:c r="C15" s="26"/>
      <x:c r="D15" s="35"/>
      <x:c r="E15" s="28"/>
      <x:c r="F15" s="28"/>
      <x:c r="G15" s="28"/>
      <x:c r="H15" s="28"/>
      <x:c r="I15" s="28"/>
      <x:c r="J15" s="28"/>
      <x:c r="K15" s="28"/>
      <x:c r="L15" s="33"/>
      <x:c r="M15" s="33" t="str">
        <x:f>IF(E15="","CHỜ NHẬP","ĐÃ CÓ DỮ LIỆU")</x:f>
        <x:v>CHỜ NHẬP</x:v>
      </x:c>
      <x:c r="N15" s="33" t="str">
        <x:f>IF(AND(B15="",E15=""),"",IF(A15="","THIẾU ID",IF(COUNTIF($A$8:$A$33,A15)&gt;1,"TRÙNG ID",IF(COUNTIF(HANG_MUC!$A$6:$A$50,B15)=0,"SAI HẠNG MỤC","OK"))))</x:f>
      </x:c>
    </x:row>
    <x:row r="16">
      <x:c r="A16" s="33" t="str">
        <x:f>IF(OR(B16="",D16=""),"",B16&amp;"-"&amp;IF(OR(C16="",C16="-"),"X",UPPER(C16))&amp;"-"&amp;TEXT(D16,"00"))</x:f>
      </x:c>
      <x:c r="B16" s="26"/>
      <x:c r="C16" s="26"/>
      <x:c r="D16" s="35"/>
      <x:c r="E16" s="28"/>
      <x:c r="F16" s="28"/>
      <x:c r="G16" s="28"/>
      <x:c r="H16" s="28"/>
      <x:c r="I16" s="28"/>
      <x:c r="J16" s="28"/>
      <x:c r="K16" s="28"/>
      <x:c r="L16" s="33"/>
      <x:c r="M16" s="33" t="str">
        <x:f>IF(E16="","CHỜ NHẬP","ĐÃ CÓ DỮ LIỆU")</x:f>
        <x:v>CHỜ NHẬP</x:v>
      </x:c>
      <x:c r="N16" s="33" t="str">
        <x:f>IF(AND(B16="",E16=""),"",IF(A16="","THIẾU ID",IF(COUNTIF($A$8:$A$33,A16)&gt;1,"TRÙNG ID",IF(COUNTIF(HANG_MUC!$A$6:$A$50,B16)=0,"SAI HẠNG MỤC","OK"))))</x:f>
      </x:c>
    </x:row>
    <x:row r="17">
      <x:c r="A17" s="33" t="str">
        <x:f>IF(OR(B17="",D17=""),"",B17&amp;"-"&amp;IF(OR(C17="",C17="-"),"X",UPPER(C17))&amp;"-"&amp;TEXT(D17,"00"))</x:f>
      </x:c>
      <x:c r="B17" s="26"/>
      <x:c r="C17" s="26"/>
      <x:c r="D17" s="35"/>
      <x:c r="E17" s="28"/>
      <x:c r="F17" s="28"/>
      <x:c r="G17" s="28"/>
      <x:c r="H17" s="28"/>
      <x:c r="I17" s="28"/>
      <x:c r="J17" s="28"/>
      <x:c r="K17" s="28"/>
      <x:c r="L17" s="33"/>
      <x:c r="M17" s="33" t="str">
        <x:f>IF(E17="","CHỜ NHẬP","ĐÃ CÓ DỮ LIỆU")</x:f>
        <x:v>CHỜ NHẬP</x:v>
      </x:c>
      <x:c r="N17" s="33" t="str">
        <x:f>IF(AND(B17="",E17=""),"",IF(A17="","THIẾU ID",IF(COUNTIF($A$8:$A$33,A17)&gt;1,"TRÙNG ID",IF(COUNTIF(HANG_MUC!$A$6:$A$50,B17)=0,"SAI HẠNG MỤC","OK"))))</x:f>
      </x:c>
    </x:row>
    <x:row r="18">
      <x:c r="A18" s="33" t="str">
        <x:f>IF(OR(B18="",D18=""),"",B18&amp;"-"&amp;IF(OR(C18="",C18="-"),"X",UPPER(C18))&amp;"-"&amp;TEXT(D18,"00"))</x:f>
      </x:c>
      <x:c r="B18" s="26"/>
      <x:c r="C18" s="26"/>
      <x:c r="D18" s="35"/>
      <x:c r="E18" s="28"/>
      <x:c r="F18" s="28"/>
      <x:c r="G18" s="28"/>
      <x:c r="H18" s="28"/>
      <x:c r="I18" s="28"/>
      <x:c r="J18" s="28"/>
      <x:c r="K18" s="28"/>
      <x:c r="L18" s="33"/>
      <x:c r="M18" s="33" t="str">
        <x:f>IF(E18="","CHỜ NHẬP","ĐÃ CÓ DỮ LIỆU")</x:f>
        <x:v>CHỜ NHẬP</x:v>
      </x:c>
      <x:c r="N18" s="33" t="str">
        <x:f>IF(AND(B18="",E18=""),"",IF(A18="","THIẾU ID",IF(COUNTIF($A$8:$A$33,A18)&gt;1,"TRÙNG ID",IF(COUNTIF(HANG_MUC!$A$6:$A$50,B18)=0,"SAI HẠNG MỤC","OK"))))</x:f>
      </x:c>
    </x:row>
    <x:row r="19">
      <x:c r="A19" s="33" t="str">
        <x:f>IF(OR(B19="",D19=""),"",B19&amp;"-"&amp;IF(OR(C19="",C19="-"),"X",UPPER(C19))&amp;"-"&amp;TEXT(D19,"00"))</x:f>
      </x:c>
      <x:c r="B19" s="26"/>
      <x:c r="C19" s="26"/>
      <x:c r="D19" s="35"/>
      <x:c r="E19" s="28"/>
      <x:c r="F19" s="28"/>
      <x:c r="G19" s="28"/>
      <x:c r="H19" s="28"/>
      <x:c r="I19" s="28"/>
      <x:c r="J19" s="28"/>
      <x:c r="K19" s="28"/>
      <x:c r="L19" s="33"/>
      <x:c r="M19" s="33" t="str">
        <x:f>IF(E19="","CHỜ NHẬP","ĐÃ CÓ DỮ LIỆU")</x:f>
        <x:v>CHỜ NHẬP</x:v>
      </x:c>
      <x:c r="N19" s="33" t="str">
        <x:f>IF(AND(B19="",E19=""),"",IF(A19="","THIẾU ID",IF(COUNTIF($A$8:$A$33,A19)&gt;1,"TRÙNG ID",IF(COUNTIF(HANG_MUC!$A$6:$A$50,B19)=0,"SAI HẠNG MỤC","OK"))))</x:f>
      </x:c>
    </x:row>
    <x:row r="20">
      <x:c r="A20" s="33" t="str">
        <x:f>IF(OR(B20="",D20=""),"",B20&amp;"-"&amp;IF(OR(C20="",C20="-"),"X",UPPER(C20))&amp;"-"&amp;TEXT(D20,"00"))</x:f>
      </x:c>
      <x:c r="B20" s="26"/>
      <x:c r="C20" s="26"/>
      <x:c r="D20" s="35"/>
      <x:c r="E20" s="28"/>
      <x:c r="F20" s="28"/>
      <x:c r="G20" s="28"/>
      <x:c r="H20" s="28"/>
      <x:c r="I20" s="28"/>
      <x:c r="J20" s="28"/>
      <x:c r="K20" s="28"/>
      <x:c r="L20" s="33"/>
      <x:c r="M20" s="33" t="str">
        <x:f>IF(E20="","CHỜ NHẬP","ĐÃ CÓ DỮ LIỆU")</x:f>
        <x:v>CHỜ NHẬP</x:v>
      </x:c>
      <x:c r="N20" s="33" t="str">
        <x:f>IF(AND(B20="",E20=""),"",IF(A20="","THIẾU ID",IF(COUNTIF($A$8:$A$33,A20)&gt;1,"TRÙNG ID",IF(COUNTIF(HANG_MUC!$A$6:$A$50,B20)=0,"SAI HẠNG MỤC","OK"))))</x:f>
      </x:c>
    </x:row>
    <x:row r="21">
      <x:c r="A21" s="33" t="str">
        <x:f>IF(OR(B21="",D21=""),"",B21&amp;"-"&amp;IF(OR(C21="",C21="-"),"X",UPPER(C21))&amp;"-"&amp;TEXT(D21,"00"))</x:f>
      </x:c>
      <x:c r="B21" s="26"/>
      <x:c r="C21" s="26"/>
      <x:c r="D21" s="35"/>
      <x:c r="E21" s="28"/>
      <x:c r="F21" s="28"/>
      <x:c r="G21" s="28"/>
      <x:c r="H21" s="28"/>
      <x:c r="I21" s="28"/>
      <x:c r="J21" s="28"/>
      <x:c r="K21" s="28"/>
      <x:c r="L21" s="33"/>
      <x:c r="M21" s="33" t="str">
        <x:f>IF(E21="","CHỜ NHẬP","ĐÃ CÓ DỮ LIỆU")</x:f>
        <x:v>CHỜ NHẬP</x:v>
      </x:c>
      <x:c r="N21" s="33" t="str">
        <x:f>IF(AND(B21="",E21=""),"",IF(A21="","THIẾU ID",IF(COUNTIF($A$8:$A$33,A21)&gt;1,"TRÙNG ID",IF(COUNTIF(HANG_MUC!$A$6:$A$50,B21)=0,"SAI HẠNG MỤC","OK"))))</x:f>
      </x:c>
    </x:row>
    <x:row r="22">
      <x:c r="A22" s="33" t="str">
        <x:f>IF(OR(B22="",D22=""),"",B22&amp;"-"&amp;IF(OR(C22="",C22="-"),"X",UPPER(C22))&amp;"-"&amp;TEXT(D22,"00"))</x:f>
      </x:c>
      <x:c r="B22" s="26"/>
      <x:c r="C22" s="26"/>
      <x:c r="D22" s="35"/>
      <x:c r="E22" s="28"/>
      <x:c r="F22" s="28"/>
      <x:c r="G22" s="28"/>
      <x:c r="H22" s="28"/>
      <x:c r="I22" s="28"/>
      <x:c r="J22" s="28"/>
      <x:c r="K22" s="28"/>
      <x:c r="L22" s="33"/>
      <x:c r="M22" s="33" t="str">
        <x:f>IF(E22="","CHỜ NHẬP","ĐÃ CÓ DỮ LIỆU")</x:f>
        <x:v>CHỜ NHẬP</x:v>
      </x:c>
      <x:c r="N22" s="33" t="str">
        <x:f>IF(AND(B22="",E22=""),"",IF(A22="","THIẾU ID",IF(COUNTIF($A$8:$A$33,A22)&gt;1,"TRÙNG ID",IF(COUNTIF(HANG_MUC!$A$6:$A$50,B22)=0,"SAI HẠNG MỤC","OK"))))</x:f>
      </x:c>
    </x:row>
    <x:row r="23">
      <x:c r="A23" s="33" t="str">
        <x:f>IF(OR(B23="",D23=""),"",B23&amp;"-"&amp;IF(OR(C23="",C23="-"),"X",UPPER(C23))&amp;"-"&amp;TEXT(D23,"00"))</x:f>
      </x:c>
      <x:c r="B23" s="26"/>
      <x:c r="C23" s="26"/>
      <x:c r="D23" s="35"/>
      <x:c r="E23" s="28"/>
      <x:c r="F23" s="28"/>
      <x:c r="G23" s="28"/>
      <x:c r="H23" s="28"/>
      <x:c r="I23" s="28"/>
      <x:c r="J23" s="28"/>
      <x:c r="K23" s="28"/>
      <x:c r="L23" s="33"/>
      <x:c r="M23" s="33" t="str">
        <x:f>IF(E23="","CHỜ NHẬP","ĐÃ CÓ DỮ LIỆU")</x:f>
        <x:v>CHỜ NHẬP</x:v>
      </x:c>
      <x:c r="N23" s="33" t="str">
        <x:f>IF(AND(B23="",E23=""),"",IF(A23="","THIẾU ID",IF(COUNTIF($A$8:$A$33,A23)&gt;1,"TRÙNG ID",IF(COUNTIF(HANG_MUC!$A$6:$A$50,B23)=0,"SAI HẠNG MỤC","OK"))))</x:f>
      </x:c>
    </x:row>
    <x:row r="24">
      <x:c r="A24" s="33" t="str">
        <x:f>IF(OR(B24="",D24=""),"",B24&amp;"-"&amp;IF(OR(C24="",C24="-"),"X",UPPER(C24))&amp;"-"&amp;TEXT(D24,"00"))</x:f>
      </x:c>
      <x:c r="B24" s="26"/>
      <x:c r="C24" s="26"/>
      <x:c r="D24" s="35"/>
      <x:c r="E24" s="28"/>
      <x:c r="F24" s="28"/>
      <x:c r="G24" s="28"/>
      <x:c r="H24" s="28"/>
      <x:c r="I24" s="28"/>
      <x:c r="J24" s="28"/>
      <x:c r="K24" s="28"/>
      <x:c r="L24" s="33"/>
      <x:c r="M24" s="33" t="str">
        <x:f>IF(E24="","CHỜ NHẬP","ĐÃ CÓ DỮ LIỆU")</x:f>
        <x:v>CHỜ NHẬP</x:v>
      </x:c>
      <x:c r="N24" s="33" t="str">
        <x:f>IF(AND(B24="",E24=""),"",IF(A24="","THIẾU ID",IF(COUNTIF($A$8:$A$33,A24)&gt;1,"TRÙNG ID",IF(COUNTIF(HANG_MUC!$A$6:$A$50,B24)=0,"SAI HẠNG MỤC","OK"))))</x:f>
      </x:c>
    </x:row>
    <x:row r="25">
      <x:c r="A25" s="33" t="str">
        <x:f>IF(OR(B25="",D25=""),"",B25&amp;"-"&amp;IF(OR(C25="",C25="-"),"X",UPPER(C25))&amp;"-"&amp;TEXT(D25,"00"))</x:f>
      </x:c>
      <x:c r="B25" s="26"/>
      <x:c r="C25" s="26"/>
      <x:c r="D25" s="35"/>
      <x:c r="E25" s="28"/>
      <x:c r="F25" s="28"/>
      <x:c r="G25" s="28"/>
      <x:c r="H25" s="28"/>
      <x:c r="I25" s="28"/>
      <x:c r="J25" s="28"/>
      <x:c r="K25" s="28"/>
      <x:c r="L25" s="33"/>
      <x:c r="M25" s="33" t="str">
        <x:f>IF(E25="","CHỜ NHẬP","ĐÃ CÓ DỮ LIỆU")</x:f>
        <x:v>CHỜ NHẬP</x:v>
      </x:c>
      <x:c r="N25" s="33" t="str">
        <x:f>IF(AND(B25="",E25=""),"",IF(A25="","THIẾU ID",IF(COUNTIF($A$8:$A$33,A25)&gt;1,"TRÙNG ID",IF(COUNTIF(HANG_MUC!$A$6:$A$50,B25)=0,"SAI HẠNG MỤC","OK"))))</x:f>
      </x:c>
    </x:row>
    <x:row r="26">
      <x:c r="A26" s="33" t="str">
        <x:f>IF(OR(B26="",D26=""),"",B26&amp;"-"&amp;IF(OR(C26="",C26="-"),"X",UPPER(C26))&amp;"-"&amp;TEXT(D26,"00"))</x:f>
      </x:c>
      <x:c r="B26" s="26"/>
      <x:c r="C26" s="26"/>
      <x:c r="D26" s="35"/>
      <x:c r="E26" s="28"/>
      <x:c r="F26" s="28"/>
      <x:c r="G26" s="28"/>
      <x:c r="H26" s="28"/>
      <x:c r="I26" s="28"/>
      <x:c r="J26" s="28"/>
      <x:c r="K26" s="28"/>
      <x:c r="L26" s="33"/>
      <x:c r="M26" s="33" t="str">
        <x:f>IF(E26="","CHỜ NHẬP","ĐÃ CÓ DỮ LIỆU")</x:f>
        <x:v>CHỜ NHẬP</x:v>
      </x:c>
      <x:c r="N26" s="33" t="str">
        <x:f>IF(AND(B26="",E26=""),"",IF(A26="","THIẾU ID",IF(COUNTIF($A$8:$A$33,A26)&gt;1,"TRÙNG ID",IF(COUNTIF(HANG_MUC!$A$6:$A$50,B26)=0,"SAI HẠNG MỤC","OK"))))</x:f>
      </x:c>
    </x:row>
    <x:row r="27">
      <x:c r="A27" s="33" t="str">
        <x:f>IF(OR(B27="",D27=""),"",B27&amp;"-"&amp;IF(OR(C27="",C27="-"),"X",UPPER(C27))&amp;"-"&amp;TEXT(D27,"00"))</x:f>
      </x:c>
      <x:c r="B27" s="26"/>
      <x:c r="C27" s="26"/>
      <x:c r="D27" s="35"/>
      <x:c r="E27" s="28"/>
      <x:c r="F27" s="28"/>
      <x:c r="G27" s="28"/>
      <x:c r="H27" s="28"/>
      <x:c r="I27" s="28"/>
      <x:c r="J27" s="28"/>
      <x:c r="K27" s="28"/>
      <x:c r="L27" s="33"/>
      <x:c r="M27" s="33" t="str">
        <x:f>IF(E27="","CHỜ NHẬP","ĐÃ CÓ DỮ LIỆU")</x:f>
        <x:v>CHỜ NHẬP</x:v>
      </x:c>
      <x:c r="N27" s="33" t="str">
        <x:f>IF(AND(B27="",E27=""),"",IF(A27="","THIẾU ID",IF(COUNTIF($A$8:$A$33,A27)&gt;1,"TRÙNG ID",IF(COUNTIF(HANG_MUC!$A$6:$A$50,B27)=0,"SAI HẠNG MỤC","OK"))))</x:f>
      </x:c>
    </x:row>
    <x:row r="28">
      <x:c r="A28" s="33" t="str">
        <x:f>IF(OR(B28="",D28=""),"",B28&amp;"-"&amp;IF(OR(C28="",C28="-"),"X",UPPER(C28))&amp;"-"&amp;TEXT(D28,"00"))</x:f>
      </x:c>
      <x:c r="B28" s="26"/>
      <x:c r="C28" s="26"/>
      <x:c r="D28" s="35"/>
      <x:c r="E28" s="28"/>
      <x:c r="F28" s="28"/>
      <x:c r="G28" s="28"/>
      <x:c r="H28" s="28"/>
      <x:c r="I28" s="28"/>
      <x:c r="J28" s="28"/>
      <x:c r="K28" s="28"/>
      <x:c r="L28" s="33"/>
      <x:c r="M28" s="33" t="str">
        <x:f>IF(E28="","CHỜ NHẬP","ĐÃ CÓ DỮ LIỆU")</x:f>
        <x:v>CHỜ NHẬP</x:v>
      </x:c>
      <x:c r="N28" s="33" t="str">
        <x:f>IF(AND(B28="",E28=""),"",IF(A28="","THIẾU ID",IF(COUNTIF($A$8:$A$33,A28)&gt;1,"TRÙNG ID",IF(COUNTIF(HANG_MUC!$A$6:$A$50,B28)=0,"SAI HẠNG MỤC","OK"))))</x:f>
      </x:c>
    </x:row>
    <x:row r="29">
      <x:c r="A29" s="33" t="str">
        <x:f>IF(OR(B29="",D29=""),"",B29&amp;"-"&amp;IF(OR(C29="",C29="-"),"X",UPPER(C29))&amp;"-"&amp;TEXT(D29,"00"))</x:f>
      </x:c>
      <x:c r="B29" s="26"/>
      <x:c r="C29" s="26"/>
      <x:c r="D29" s="35"/>
      <x:c r="E29" s="28"/>
      <x:c r="F29" s="28"/>
      <x:c r="G29" s="28"/>
      <x:c r="H29" s="28"/>
      <x:c r="I29" s="28"/>
      <x:c r="J29" s="28"/>
      <x:c r="K29" s="28"/>
      <x:c r="L29" s="33"/>
      <x:c r="M29" s="33" t="str">
        <x:f>IF(E29="","CHỜ NHẬP","ĐÃ CÓ DỮ LIỆU")</x:f>
        <x:v>CHỜ NHẬP</x:v>
      </x:c>
      <x:c r="N29" s="33" t="str">
        <x:f>IF(AND(B29="",E29=""),"",IF(A29="","THIẾU ID",IF(COUNTIF($A$8:$A$33,A29)&gt;1,"TRÙNG ID",IF(COUNTIF(HANG_MUC!$A$6:$A$50,B29)=0,"SAI HẠNG MỤC","OK"))))</x:f>
      </x:c>
    </x:row>
    <x:row r="30">
      <x:c r="A30" s="33" t="str">
        <x:f>IF(OR(B30="",D30=""),"",B30&amp;"-"&amp;IF(OR(C30="",C30="-"),"X",UPPER(C30))&amp;"-"&amp;TEXT(D30,"00"))</x:f>
      </x:c>
      <x:c r="B30" s="26"/>
      <x:c r="C30" s="26"/>
      <x:c r="D30" s="35"/>
      <x:c r="E30" s="28"/>
      <x:c r="F30" s="28"/>
      <x:c r="G30" s="28"/>
      <x:c r="H30" s="28"/>
      <x:c r="I30" s="28"/>
      <x:c r="J30" s="28"/>
      <x:c r="K30" s="28"/>
      <x:c r="L30" s="33"/>
      <x:c r="M30" s="33" t="str">
        <x:f>IF(E30="","CHỜ NHẬP","ĐÃ CÓ DỮ LIỆU")</x:f>
        <x:v>CHỜ NHẬP</x:v>
      </x:c>
      <x:c r="N30" s="33" t="str">
        <x:f>IF(AND(B30="",E30=""),"",IF(A30="","THIẾU ID",IF(COUNTIF($A$8:$A$33,A30)&gt;1,"TRÙNG ID",IF(COUNTIF(HANG_MUC!$A$6:$A$50,B30)=0,"SAI HẠNG MỤC","OK"))))</x:f>
      </x:c>
    </x:row>
    <x:row r="31">
      <x:c r="A31" s="33" t="str">
        <x:f>IF(OR(B31="",D31=""),"",B31&amp;"-"&amp;IF(OR(C31="",C31="-"),"X",UPPER(C31))&amp;"-"&amp;TEXT(D31,"00"))</x:f>
      </x:c>
      <x:c r="B31" s="26"/>
      <x:c r="C31" s="26"/>
      <x:c r="D31" s="35"/>
      <x:c r="E31" s="28"/>
      <x:c r="F31" s="28"/>
      <x:c r="G31" s="28"/>
      <x:c r="H31" s="28"/>
      <x:c r="I31" s="28"/>
      <x:c r="J31" s="28"/>
      <x:c r="K31" s="28"/>
      <x:c r="L31" s="33"/>
      <x:c r="M31" s="33" t="str">
        <x:f>IF(E31="","CHỜ NHẬP","ĐÃ CÓ DỮ LIỆU")</x:f>
        <x:v>CHỜ NHẬP</x:v>
      </x:c>
      <x:c r="N31" s="33" t="str">
        <x:f>IF(AND(B31="",E31=""),"",IF(A31="","THIẾU ID",IF(COUNTIF($A$8:$A$33,A31)&gt;1,"TRÙNG ID",IF(COUNTIF(HANG_MUC!$A$6:$A$50,B31)=0,"SAI HẠNG MỤC","OK"))))</x:f>
      </x:c>
    </x:row>
    <x:row r="32">
      <x:c r="A32" s="33" t="str">
        <x:f>IF(OR(B32="",D32=""),"",B32&amp;"-"&amp;IF(OR(C32="",C32="-"),"X",UPPER(C32))&amp;"-"&amp;TEXT(D32,"00"))</x:f>
      </x:c>
      <x:c r="B32" s="26"/>
      <x:c r="C32" s="26"/>
      <x:c r="D32" s="35"/>
      <x:c r="E32" s="28"/>
      <x:c r="F32" s="28"/>
      <x:c r="G32" s="28"/>
      <x:c r="H32" s="28"/>
      <x:c r="I32" s="28"/>
      <x:c r="J32" s="28"/>
      <x:c r="K32" s="28"/>
      <x:c r="L32" s="33"/>
      <x:c r="M32" s="33" t="str">
        <x:f>IF(E32="","CHỜ NHẬP","ĐÃ CÓ DỮ LIỆU")</x:f>
        <x:v>CHỜ NHẬP</x:v>
      </x:c>
      <x:c r="N32" s="33" t="str">
        <x:f>IF(AND(B32="",E32=""),"",IF(A32="","THIẾU ID",IF(COUNTIF($A$8:$A$33,A32)&gt;1,"TRÙNG ID",IF(COUNTIF(HANG_MUC!$A$6:$A$50,B32)=0,"SAI HẠNG MỤC","OK"))))</x:f>
      </x:c>
    </x:row>
    <x:row r="33">
      <x:c r="A33" s="33" t="str">
        <x:f>IF(OR(B33="",D33=""),"",B33&amp;"-"&amp;IF(OR(C33="",C33="-"),"X",UPPER(C33))&amp;"-"&amp;TEXT(D33,"00"))</x:f>
      </x:c>
      <x:c r="B33" s="26"/>
      <x:c r="C33" s="26"/>
      <x:c r="D33" s="35"/>
      <x:c r="E33" s="28"/>
      <x:c r="F33" s="28"/>
      <x:c r="G33" s="28"/>
      <x:c r="H33" s="28"/>
      <x:c r="I33" s="28"/>
      <x:c r="J33" s="28"/>
      <x:c r="K33" s="28"/>
      <x:c r="L33" s="33"/>
      <x:c r="M33" s="33" t="str">
        <x:f>IF(E33="","CHỜ NHẬP","ĐÃ CÓ DỮ LIỆU")</x:f>
        <x:v>CHỜ NHẬP</x:v>
      </x:c>
      <x:c r="N33" s="33" t="str">
        <x:f>IF(AND(B33="",E33=""),"",IF(A33="","THIẾU ID",IF(COUNTIF($A$8:$A$33,A33)&gt;1,"TRÙNG ID",IF(COUNTIF(HANG_MUC!$A$6:$A$50,B33)=0,"SAI HẠNG MỤC","OK"))))</x:f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33">
    <x:cfRule type="containsText" dxfId="11" priority="1" operator="containsText" text="TRÙNG"/>
    <x:cfRule type="containsText" dxfId="12" priority="2" operator="containsText" text="SAI"/>
    <x:cfRule type="containsText" dxfId="13" priority="3" operator="containsText" text="THIẾU"/>
    <x:cfRule type="containsText" dxfId="14" priority="4" operator="containsText" text="OK"/>
  </x:conditionalFormatting>
  <x:conditionalFormatting sqref="M8:M33">
    <x:cfRule type="containsText" dxfId="15" priority="5" operator="containsText" text="CHỜ"/>
  </x:conditionalFormatting>
  <x:dataValidations count="3">
    <x:dataValidation type="list" sqref="B8:B33">
      <x:formula1>HANG_MUC!$A$15:$A$15</x:formula1>
    </x:dataValidation>
    <x:dataValidation type="list" sqref="C8:C33">
      <x:formula1>"-,A,B,C,D,E,F,G,H"</x:formula1>
    </x:dataValidation>
    <x:dataValidation type="whole" operator="between" sqref="D8:D33">
      <x:formula1>1</x:formula1>
      <x:formula2>999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Bóng đá nam B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BDNB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BDNB-DONGDOI-A-01</x:v>
      </x:c>
      <x:c r="B8" s="24" t="str">
        <x:v>BDNB-DONGDOI</x:v>
      </x:c>
      <x:c r="C8" s="24" t="str">
        <x:v>A</x:v>
      </x:c>
      <x:c r="D8" s="34" t="n">
        <x:v>1</x:v>
      </x:c>
      <x:c r="E8" s="27" t="str">
        <x:v>PTSC Marine</x:v>
      </x:c>
      <x:c r="F8" s="27" t="str"/>
      <x:c r="G8" s="27" t="str"/>
      <x:c r="H8" s="27" t="str"/>
      <x:c r="I8" s="27" t="str"/>
      <x:c r="J8" s="27" t="str"/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ID",IF(COUNTIF($A$8:$A$34,A8)&gt;1,"TRÙNG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BDNB-DONGDOI-A-02</x:v>
      </x:c>
      <x:c r="B9" s="26" t="str">
        <x:v>BDNB-DONGDOI</x:v>
      </x:c>
      <x:c r="C9" s="26" t="str">
        <x:v>A</x:v>
      </x:c>
      <x:c r="D9" s="35" t="n">
        <x:v>2</x:v>
      </x:c>
      <x:c r="E9" s="28" t="str">
        <x:v>PTSC HQ</x:v>
      </x:c>
      <x:c r="F9" s="28" t="str"/>
      <x:c r="G9" s="28" t="str"/>
      <x:c r="H9" s="28" t="str"/>
      <x:c r="I9" s="28" t="str"/>
      <x:c r="J9" s="28" t="str"/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ID",IF(COUNTIF($A$8:$A$34,A9)&gt;1,"TRÙNG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BDNB-DONGDOI-A-03</x:v>
      </x:c>
      <x:c r="B10" s="26" t="str">
        <x:v>BDNB-DONGDOI</x:v>
      </x:c>
      <x:c r="C10" s="26" t="str">
        <x:v>A</x:v>
      </x:c>
      <x:c r="D10" s="35" t="n">
        <x:v>3</x:v>
      </x:c>
      <x:c r="E10" s="28" t="str">
        <x:v>Liên quân</x:v>
      </x:c>
      <x:c r="F10" s="28" t="str"/>
      <x:c r="G10" s="28" t="str"/>
      <x:c r="H10" s="28" t="str"/>
      <x:c r="I10" s="28" t="str"/>
      <x:c r="J10" s="28" t="str"/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ID",IF(COUNTIF($A$8:$A$34,A10)&gt;1,"TRÙNG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BDNB-DONGDOI-A-04</x:v>
      </x:c>
      <x:c r="B11" s="26" t="str">
        <x:v>BDNB-DONGDOI</x:v>
      </x:c>
      <x:c r="C11" s="26" t="str">
        <x:v>A</x:v>
      </x:c>
      <x:c r="D11" s="35" t="n">
        <x:v>4</x:v>
      </x:c>
      <x:c r="E11" s="28" t="str">
        <x:v>PTSC Phú Mỹ</x:v>
      </x:c>
      <x:c r="F11" s="28" t="str"/>
      <x:c r="G11" s="28" t="str"/>
      <x:c r="H11" s="28" t="str"/>
      <x:c r="I11" s="28" t="str"/>
      <x:c r="J11" s="28" t="str"/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ID",IF(COUNTIF($A$8:$A$34,A11)&gt;1,"TRÙNG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BDNB-DONGDOI-B-01</x:v>
      </x:c>
      <x:c r="B12" s="26" t="str">
        <x:v>BDNB-DONGDOI</x:v>
      </x:c>
      <x:c r="C12" s="26" t="str">
        <x:v>B</x:v>
      </x:c>
      <x:c r="D12" s="35" t="n">
        <x:v>1</x:v>
      </x:c>
      <x:c r="E12" s="28" t="str">
        <x:v>PPS</x:v>
      </x:c>
      <x:c r="F12" s="28" t="str"/>
      <x:c r="G12" s="28" t="str"/>
      <x:c r="H12" s="28" t="str"/>
      <x:c r="I12" s="28" t="str"/>
      <x:c r="J12" s="28" t="str"/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ID",IF(COUNTIF($A$8:$A$34,A12)&gt;1,"TRÙNG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BDNB-DONGDOI-B-02</x:v>
      </x:c>
      <x:c r="B13" s="26" t="str">
        <x:v>BDNB-DONGDOI</x:v>
      </x:c>
      <x:c r="C13" s="26" t="str">
        <x:v>B</x:v>
      </x:c>
      <x:c r="D13" s="35" t="n">
        <x:v>2</x:v>
      </x:c>
      <x:c r="E13" s="28" t="str">
        <x:v>PTSC Supply Base</x:v>
      </x:c>
      <x:c r="F13" s="28" t="str"/>
      <x:c r="G13" s="28" t="str"/>
      <x:c r="H13" s="28" t="str"/>
      <x:c r="I13" s="28" t="str"/>
      <x:c r="J13" s="28" t="str"/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ID",IF(COUNTIF($A$8:$A$34,A13)&gt;1,"TRÙNG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BDNB-DONGDOI-B-03</x:v>
      </x:c>
      <x:c r="B14" s="26" t="str">
        <x:v>BDNB-DONGDOI</x:v>
      </x:c>
      <x:c r="C14" s="26" t="str">
        <x:v>B</x:v>
      </x:c>
      <x:c r="D14" s="35" t="n">
        <x:v>3</x:v>
      </x:c>
      <x:c r="E14" s="28" t="str">
        <x:v>POS</x:v>
      </x:c>
      <x:c r="F14" s="28" t="str"/>
      <x:c r="G14" s="28" t="str"/>
      <x:c r="H14" s="28" t="str"/>
      <x:c r="I14" s="28" t="str"/>
      <x:c r="J14" s="28" t="str"/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ID",IF(COUNTIF($A$8:$A$34,A14)&gt;1,"TRÙNG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</x:c>
      <x:c r="B15" s="26"/>
      <x:c r="C15" s="26"/>
      <x:c r="D15" s="35"/>
      <x:c r="E15" s="28"/>
      <x:c r="F15" s="28"/>
      <x:c r="G15" s="28"/>
      <x:c r="H15" s="28"/>
      <x:c r="I15" s="28"/>
      <x:c r="J15" s="28"/>
      <x:c r="K15" s="28"/>
      <x:c r="L15" s="33"/>
      <x:c r="M15" s="33" t="str">
        <x:f>IF(E15="","CHỜ NHẬP","ĐÃ CÓ DỮ LIỆU")</x:f>
        <x:v>CHỜ NHẬP</x:v>
      </x:c>
      <x:c r="N15" s="33" t="str">
        <x:f>IF(AND(B15="",E15=""),"",IF(A15="","THIẾU ID",IF(COUNTIF($A$8:$A$34,A15)&gt;1,"TRÙNG ID",IF(COUNTIF(HANG_MUC!$A$6:$A$50,B15)=0,"SAI HẠNG MỤC","OK"))))</x:f>
      </x:c>
    </x:row>
    <x:row r="16">
      <x:c r="A16" s="33" t="str">
        <x:f>IF(OR(B16="",D16=""),"",B16&amp;"-"&amp;IF(OR(C16="",C16="-"),"X",UPPER(C16))&amp;"-"&amp;TEXT(D16,"00"))</x:f>
      </x:c>
      <x:c r="B16" s="26"/>
      <x:c r="C16" s="26"/>
      <x:c r="D16" s="35"/>
      <x:c r="E16" s="28"/>
      <x:c r="F16" s="28"/>
      <x:c r="G16" s="28"/>
      <x:c r="H16" s="28"/>
      <x:c r="I16" s="28"/>
      <x:c r="J16" s="28"/>
      <x:c r="K16" s="28"/>
      <x:c r="L16" s="33"/>
      <x:c r="M16" s="33" t="str">
        <x:f>IF(E16="","CHỜ NHẬP","ĐÃ CÓ DỮ LIỆU")</x:f>
        <x:v>CHỜ NHẬP</x:v>
      </x:c>
      <x:c r="N16" s="33" t="str">
        <x:f>IF(AND(B16="",E16=""),"",IF(A16="","THIẾU ID",IF(COUNTIF($A$8:$A$34,A16)&gt;1,"TRÙNG ID",IF(COUNTIF(HANG_MUC!$A$6:$A$50,B16)=0,"SAI HẠNG MỤC","OK"))))</x:f>
      </x:c>
    </x:row>
    <x:row r="17">
      <x:c r="A17" s="33" t="str">
        <x:f>IF(OR(B17="",D17=""),"",B17&amp;"-"&amp;IF(OR(C17="",C17="-"),"X",UPPER(C17))&amp;"-"&amp;TEXT(D17,"00"))</x:f>
      </x:c>
      <x:c r="B17" s="26"/>
      <x:c r="C17" s="26"/>
      <x:c r="D17" s="35"/>
      <x:c r="E17" s="28"/>
      <x:c r="F17" s="28"/>
      <x:c r="G17" s="28"/>
      <x:c r="H17" s="28"/>
      <x:c r="I17" s="28"/>
      <x:c r="J17" s="28"/>
      <x:c r="K17" s="28"/>
      <x:c r="L17" s="33"/>
      <x:c r="M17" s="33" t="str">
        <x:f>IF(E17="","CHỜ NHẬP","ĐÃ CÓ DỮ LIỆU")</x:f>
        <x:v>CHỜ NHẬP</x:v>
      </x:c>
      <x:c r="N17" s="33" t="str">
        <x:f>IF(AND(B17="",E17=""),"",IF(A17="","THIẾU ID",IF(COUNTIF($A$8:$A$34,A17)&gt;1,"TRÙNG ID",IF(COUNTIF(HANG_MUC!$A$6:$A$50,B17)=0,"SAI HẠNG MỤC","OK"))))</x:f>
      </x:c>
    </x:row>
    <x:row r="18">
      <x:c r="A18" s="33" t="str">
        <x:f>IF(OR(B18="",D18=""),"",B18&amp;"-"&amp;IF(OR(C18="",C18="-"),"X",UPPER(C18))&amp;"-"&amp;TEXT(D18,"00"))</x:f>
      </x:c>
      <x:c r="B18" s="26"/>
      <x:c r="C18" s="26"/>
      <x:c r="D18" s="35"/>
      <x:c r="E18" s="28"/>
      <x:c r="F18" s="28"/>
      <x:c r="G18" s="28"/>
      <x:c r="H18" s="28"/>
      <x:c r="I18" s="28"/>
      <x:c r="J18" s="28"/>
      <x:c r="K18" s="28"/>
      <x:c r="L18" s="33"/>
      <x:c r="M18" s="33" t="str">
        <x:f>IF(E18="","CHỜ NHẬP","ĐÃ CÓ DỮ LIỆU")</x:f>
        <x:v>CHỜ NHẬP</x:v>
      </x:c>
      <x:c r="N18" s="33" t="str">
        <x:f>IF(AND(B18="",E18=""),"",IF(A18="","THIẾU ID",IF(COUNTIF($A$8:$A$34,A18)&gt;1,"TRÙNG ID",IF(COUNTIF(HANG_MUC!$A$6:$A$50,B18)=0,"SAI HẠNG MỤC","OK"))))</x:f>
      </x:c>
    </x:row>
    <x:row r="19">
      <x:c r="A19" s="33" t="str">
        <x:f>IF(OR(B19="",D19=""),"",B19&amp;"-"&amp;IF(OR(C19="",C19="-"),"X",UPPER(C19))&amp;"-"&amp;TEXT(D19,"00"))</x:f>
      </x:c>
      <x:c r="B19" s="26"/>
      <x:c r="C19" s="26"/>
      <x:c r="D19" s="35"/>
      <x:c r="E19" s="28"/>
      <x:c r="F19" s="28"/>
      <x:c r="G19" s="28"/>
      <x:c r="H19" s="28"/>
      <x:c r="I19" s="28"/>
      <x:c r="J19" s="28"/>
      <x:c r="K19" s="28"/>
      <x:c r="L19" s="33"/>
      <x:c r="M19" s="33" t="str">
        <x:f>IF(E19="","CHỜ NHẬP","ĐÃ CÓ DỮ LIỆU")</x:f>
        <x:v>CHỜ NHẬP</x:v>
      </x:c>
      <x:c r="N19" s="33" t="str">
        <x:f>IF(AND(B19="",E19=""),"",IF(A19="","THIẾU ID",IF(COUNTIF($A$8:$A$34,A19)&gt;1,"TRÙNG ID",IF(COUNTIF(HANG_MUC!$A$6:$A$50,B19)=0,"SAI HẠNG MỤC","OK"))))</x:f>
      </x:c>
    </x:row>
    <x:row r="20">
      <x:c r="A20" s="33" t="str">
        <x:f>IF(OR(B20="",D20=""),"",B20&amp;"-"&amp;IF(OR(C20="",C20="-"),"X",UPPER(C20))&amp;"-"&amp;TEXT(D20,"00"))</x:f>
      </x:c>
      <x:c r="B20" s="26"/>
      <x:c r="C20" s="26"/>
      <x:c r="D20" s="35"/>
      <x:c r="E20" s="28"/>
      <x:c r="F20" s="28"/>
      <x:c r="G20" s="28"/>
      <x:c r="H20" s="28"/>
      <x:c r="I20" s="28"/>
      <x:c r="J20" s="28"/>
      <x:c r="K20" s="28"/>
      <x:c r="L20" s="33"/>
      <x:c r="M20" s="33" t="str">
        <x:f>IF(E20="","CHỜ NHẬP","ĐÃ CÓ DỮ LIỆU")</x:f>
        <x:v>CHỜ NHẬP</x:v>
      </x:c>
      <x:c r="N20" s="33" t="str">
        <x:f>IF(AND(B20="",E20=""),"",IF(A20="","THIẾU ID",IF(COUNTIF($A$8:$A$34,A20)&gt;1,"TRÙNG ID",IF(COUNTIF(HANG_MUC!$A$6:$A$50,B20)=0,"SAI HẠNG MỤC","OK"))))</x:f>
      </x:c>
    </x:row>
    <x:row r="21">
      <x:c r="A21" s="33" t="str">
        <x:f>IF(OR(B21="",D21=""),"",B21&amp;"-"&amp;IF(OR(C21="",C21="-"),"X",UPPER(C21))&amp;"-"&amp;TEXT(D21,"00"))</x:f>
      </x:c>
      <x:c r="B21" s="26"/>
      <x:c r="C21" s="26"/>
      <x:c r="D21" s="35"/>
      <x:c r="E21" s="28"/>
      <x:c r="F21" s="28"/>
      <x:c r="G21" s="28"/>
      <x:c r="H21" s="28"/>
      <x:c r="I21" s="28"/>
      <x:c r="J21" s="28"/>
      <x:c r="K21" s="28"/>
      <x:c r="L21" s="33"/>
      <x:c r="M21" s="33" t="str">
        <x:f>IF(E21="","CHỜ NHẬP","ĐÃ CÓ DỮ LIỆU")</x:f>
        <x:v>CHỜ NHẬP</x:v>
      </x:c>
      <x:c r="N21" s="33" t="str">
        <x:f>IF(AND(B21="",E21=""),"",IF(A21="","THIẾU ID",IF(COUNTIF($A$8:$A$34,A21)&gt;1,"TRÙNG ID",IF(COUNTIF(HANG_MUC!$A$6:$A$50,B21)=0,"SAI HẠNG MỤC","OK"))))</x:f>
      </x:c>
    </x:row>
    <x:row r="22">
      <x:c r="A22" s="33" t="str">
        <x:f>IF(OR(B22="",D22=""),"",B22&amp;"-"&amp;IF(OR(C22="",C22="-"),"X",UPPER(C22))&amp;"-"&amp;TEXT(D22,"00"))</x:f>
      </x:c>
      <x:c r="B22" s="26"/>
      <x:c r="C22" s="26"/>
      <x:c r="D22" s="35"/>
      <x:c r="E22" s="28"/>
      <x:c r="F22" s="28"/>
      <x:c r="G22" s="28"/>
      <x:c r="H22" s="28"/>
      <x:c r="I22" s="28"/>
      <x:c r="J22" s="28"/>
      <x:c r="K22" s="28"/>
      <x:c r="L22" s="33"/>
      <x:c r="M22" s="33" t="str">
        <x:f>IF(E22="","CHỜ NHẬP","ĐÃ CÓ DỮ LIỆU")</x:f>
        <x:v>CHỜ NHẬP</x:v>
      </x:c>
      <x:c r="N22" s="33" t="str">
        <x:f>IF(AND(B22="",E22=""),"",IF(A22="","THIẾU ID",IF(COUNTIF($A$8:$A$34,A22)&gt;1,"TRÙNG ID",IF(COUNTIF(HANG_MUC!$A$6:$A$50,B22)=0,"SAI HẠNG MỤC","OK"))))</x:f>
      </x:c>
    </x:row>
    <x:row r="23">
      <x:c r="A23" s="33" t="str">
        <x:f>IF(OR(B23="",D23=""),"",B23&amp;"-"&amp;IF(OR(C23="",C23="-"),"X",UPPER(C23))&amp;"-"&amp;TEXT(D23,"00"))</x:f>
      </x:c>
      <x:c r="B23" s="26"/>
      <x:c r="C23" s="26"/>
      <x:c r="D23" s="35"/>
      <x:c r="E23" s="28"/>
      <x:c r="F23" s="28"/>
      <x:c r="G23" s="28"/>
      <x:c r="H23" s="28"/>
      <x:c r="I23" s="28"/>
      <x:c r="J23" s="28"/>
      <x:c r="K23" s="28"/>
      <x:c r="L23" s="33"/>
      <x:c r="M23" s="33" t="str">
        <x:f>IF(E23="","CHỜ NHẬP","ĐÃ CÓ DỮ LIỆU")</x:f>
        <x:v>CHỜ NHẬP</x:v>
      </x:c>
      <x:c r="N23" s="33" t="str">
        <x:f>IF(AND(B23="",E23=""),"",IF(A23="","THIẾU ID",IF(COUNTIF($A$8:$A$34,A23)&gt;1,"TRÙNG ID",IF(COUNTIF(HANG_MUC!$A$6:$A$50,B23)=0,"SAI HẠNG MỤC","OK"))))</x:f>
      </x:c>
    </x:row>
    <x:row r="24">
      <x:c r="A24" s="33" t="str">
        <x:f>IF(OR(B24="",D24=""),"",B24&amp;"-"&amp;IF(OR(C24="",C24="-"),"X",UPPER(C24))&amp;"-"&amp;TEXT(D24,"00"))</x:f>
      </x:c>
      <x:c r="B24" s="26"/>
      <x:c r="C24" s="26"/>
      <x:c r="D24" s="35"/>
      <x:c r="E24" s="28"/>
      <x:c r="F24" s="28"/>
      <x:c r="G24" s="28"/>
      <x:c r="H24" s="28"/>
      <x:c r="I24" s="28"/>
      <x:c r="J24" s="28"/>
      <x:c r="K24" s="28"/>
      <x:c r="L24" s="33"/>
      <x:c r="M24" s="33" t="str">
        <x:f>IF(E24="","CHỜ NHẬP","ĐÃ CÓ DỮ LIỆU")</x:f>
        <x:v>CHỜ NHẬP</x:v>
      </x:c>
      <x:c r="N24" s="33" t="str">
        <x:f>IF(AND(B24="",E24=""),"",IF(A24="","THIẾU ID",IF(COUNTIF($A$8:$A$34,A24)&gt;1,"TRÙNG ID",IF(COUNTIF(HANG_MUC!$A$6:$A$50,B24)=0,"SAI HẠNG MỤC","OK"))))</x:f>
      </x:c>
    </x:row>
    <x:row r="25">
      <x:c r="A25" s="33" t="str">
        <x:f>IF(OR(B25="",D25=""),"",B25&amp;"-"&amp;IF(OR(C25="",C25="-"),"X",UPPER(C25))&amp;"-"&amp;TEXT(D25,"00"))</x:f>
      </x:c>
      <x:c r="B25" s="26"/>
      <x:c r="C25" s="26"/>
      <x:c r="D25" s="35"/>
      <x:c r="E25" s="28"/>
      <x:c r="F25" s="28"/>
      <x:c r="G25" s="28"/>
      <x:c r="H25" s="28"/>
      <x:c r="I25" s="28"/>
      <x:c r="J25" s="28"/>
      <x:c r="K25" s="28"/>
      <x:c r="L25" s="33"/>
      <x:c r="M25" s="33" t="str">
        <x:f>IF(E25="","CHỜ NHẬP","ĐÃ CÓ DỮ LIỆU")</x:f>
        <x:v>CHỜ NHẬP</x:v>
      </x:c>
      <x:c r="N25" s="33" t="str">
        <x:f>IF(AND(B25="",E25=""),"",IF(A25="","THIẾU ID",IF(COUNTIF($A$8:$A$34,A25)&gt;1,"TRÙNG ID",IF(COUNTIF(HANG_MUC!$A$6:$A$50,B25)=0,"SAI HẠNG MỤC","OK"))))</x:f>
      </x:c>
    </x:row>
    <x:row r="26">
      <x:c r="A26" s="33" t="str">
        <x:f>IF(OR(B26="",D26=""),"",B26&amp;"-"&amp;IF(OR(C26="",C26="-"),"X",UPPER(C26))&amp;"-"&amp;TEXT(D26,"00"))</x:f>
      </x:c>
      <x:c r="B26" s="26"/>
      <x:c r="C26" s="26"/>
      <x:c r="D26" s="35"/>
      <x:c r="E26" s="28"/>
      <x:c r="F26" s="28"/>
      <x:c r="G26" s="28"/>
      <x:c r="H26" s="28"/>
      <x:c r="I26" s="28"/>
      <x:c r="J26" s="28"/>
      <x:c r="K26" s="28"/>
      <x:c r="L26" s="33"/>
      <x:c r="M26" s="33" t="str">
        <x:f>IF(E26="","CHỜ NHẬP","ĐÃ CÓ DỮ LIỆU")</x:f>
        <x:v>CHỜ NHẬP</x:v>
      </x:c>
      <x:c r="N26" s="33" t="str">
        <x:f>IF(AND(B26="",E26=""),"",IF(A26="","THIẾU ID",IF(COUNTIF($A$8:$A$34,A26)&gt;1,"TRÙNG ID",IF(COUNTIF(HANG_MUC!$A$6:$A$50,B26)=0,"SAI HẠNG MỤC","OK"))))</x:f>
      </x:c>
    </x:row>
    <x:row r="27">
      <x:c r="A27" s="33" t="str">
        <x:f>IF(OR(B27="",D27=""),"",B27&amp;"-"&amp;IF(OR(C27="",C27="-"),"X",UPPER(C27))&amp;"-"&amp;TEXT(D27,"00"))</x:f>
      </x:c>
      <x:c r="B27" s="26"/>
      <x:c r="C27" s="26"/>
      <x:c r="D27" s="35"/>
      <x:c r="E27" s="28"/>
      <x:c r="F27" s="28"/>
      <x:c r="G27" s="28"/>
      <x:c r="H27" s="28"/>
      <x:c r="I27" s="28"/>
      <x:c r="J27" s="28"/>
      <x:c r="K27" s="28"/>
      <x:c r="L27" s="33"/>
      <x:c r="M27" s="33" t="str">
        <x:f>IF(E27="","CHỜ NHẬP","ĐÃ CÓ DỮ LIỆU")</x:f>
        <x:v>CHỜ NHẬP</x:v>
      </x:c>
      <x:c r="N27" s="33" t="str">
        <x:f>IF(AND(B27="",E27=""),"",IF(A27="","THIẾU ID",IF(COUNTIF($A$8:$A$34,A27)&gt;1,"TRÙNG ID",IF(COUNTIF(HANG_MUC!$A$6:$A$50,B27)=0,"SAI HẠNG MỤC","OK"))))</x:f>
      </x:c>
    </x:row>
    <x:row r="28">
      <x:c r="A28" s="33" t="str">
        <x:f>IF(OR(B28="",D28=""),"",B28&amp;"-"&amp;IF(OR(C28="",C28="-"),"X",UPPER(C28))&amp;"-"&amp;TEXT(D28,"00"))</x:f>
      </x:c>
      <x:c r="B28" s="26"/>
      <x:c r="C28" s="26"/>
      <x:c r="D28" s="35"/>
      <x:c r="E28" s="28"/>
      <x:c r="F28" s="28"/>
      <x:c r="G28" s="28"/>
      <x:c r="H28" s="28"/>
      <x:c r="I28" s="28"/>
      <x:c r="J28" s="28"/>
      <x:c r="K28" s="28"/>
      <x:c r="L28" s="33"/>
      <x:c r="M28" s="33" t="str">
        <x:f>IF(E28="","CHỜ NHẬP","ĐÃ CÓ DỮ LIỆU")</x:f>
        <x:v>CHỜ NHẬP</x:v>
      </x:c>
      <x:c r="N28" s="33" t="str">
        <x:f>IF(AND(B28="",E28=""),"",IF(A28="","THIẾU ID",IF(COUNTIF($A$8:$A$34,A28)&gt;1,"TRÙNG ID",IF(COUNTIF(HANG_MUC!$A$6:$A$50,B28)=0,"SAI HẠNG MỤC","OK"))))</x:f>
      </x:c>
    </x:row>
    <x:row r="29">
      <x:c r="A29" s="33" t="str">
        <x:f>IF(OR(B29="",D29=""),"",B29&amp;"-"&amp;IF(OR(C29="",C29="-"),"X",UPPER(C29))&amp;"-"&amp;TEXT(D29,"00"))</x:f>
      </x:c>
      <x:c r="B29" s="26"/>
      <x:c r="C29" s="26"/>
      <x:c r="D29" s="35"/>
      <x:c r="E29" s="28"/>
      <x:c r="F29" s="28"/>
      <x:c r="G29" s="28"/>
      <x:c r="H29" s="28"/>
      <x:c r="I29" s="28"/>
      <x:c r="J29" s="28"/>
      <x:c r="K29" s="28"/>
      <x:c r="L29" s="33"/>
      <x:c r="M29" s="33" t="str">
        <x:f>IF(E29="","CHỜ NHẬP","ĐÃ CÓ DỮ LIỆU")</x:f>
        <x:v>CHỜ NHẬP</x:v>
      </x:c>
      <x:c r="N29" s="33" t="str">
        <x:f>IF(AND(B29="",E29=""),"",IF(A29="","THIẾU ID",IF(COUNTIF($A$8:$A$34,A29)&gt;1,"TRÙNG ID",IF(COUNTIF(HANG_MUC!$A$6:$A$50,B29)=0,"SAI HẠNG MỤC","OK"))))</x:f>
      </x:c>
    </x:row>
    <x:row r="30">
      <x:c r="A30" s="33" t="str">
        <x:f>IF(OR(B30="",D30=""),"",B30&amp;"-"&amp;IF(OR(C30="",C30="-"),"X",UPPER(C30))&amp;"-"&amp;TEXT(D30,"00"))</x:f>
      </x:c>
      <x:c r="B30" s="26"/>
      <x:c r="C30" s="26"/>
      <x:c r="D30" s="35"/>
      <x:c r="E30" s="28"/>
      <x:c r="F30" s="28"/>
      <x:c r="G30" s="28"/>
      <x:c r="H30" s="28"/>
      <x:c r="I30" s="28"/>
      <x:c r="J30" s="28"/>
      <x:c r="K30" s="28"/>
      <x:c r="L30" s="33"/>
      <x:c r="M30" s="33" t="str">
        <x:f>IF(E30="","CHỜ NHẬP","ĐÃ CÓ DỮ LIỆU")</x:f>
        <x:v>CHỜ NHẬP</x:v>
      </x:c>
      <x:c r="N30" s="33" t="str">
        <x:f>IF(AND(B30="",E30=""),"",IF(A30="","THIẾU ID",IF(COUNTIF($A$8:$A$34,A30)&gt;1,"TRÙNG ID",IF(COUNTIF(HANG_MUC!$A$6:$A$50,B30)=0,"SAI HẠNG MỤC","OK"))))</x:f>
      </x:c>
    </x:row>
    <x:row r="31">
      <x:c r="A31" s="33" t="str">
        <x:f>IF(OR(B31="",D31=""),"",B31&amp;"-"&amp;IF(OR(C31="",C31="-"),"X",UPPER(C31))&amp;"-"&amp;TEXT(D31,"00"))</x:f>
      </x:c>
      <x:c r="B31" s="26"/>
      <x:c r="C31" s="26"/>
      <x:c r="D31" s="35"/>
      <x:c r="E31" s="28"/>
      <x:c r="F31" s="28"/>
      <x:c r="G31" s="28"/>
      <x:c r="H31" s="28"/>
      <x:c r="I31" s="28"/>
      <x:c r="J31" s="28"/>
      <x:c r="K31" s="28"/>
      <x:c r="L31" s="33"/>
      <x:c r="M31" s="33" t="str">
        <x:f>IF(E31="","CHỜ NHẬP","ĐÃ CÓ DỮ LIỆU")</x:f>
        <x:v>CHỜ NHẬP</x:v>
      </x:c>
      <x:c r="N31" s="33" t="str">
        <x:f>IF(AND(B31="",E31=""),"",IF(A31="","THIẾU ID",IF(COUNTIF($A$8:$A$34,A31)&gt;1,"TRÙNG ID",IF(COUNTIF(HANG_MUC!$A$6:$A$50,B31)=0,"SAI HẠNG MỤC","OK"))))</x:f>
      </x:c>
    </x:row>
    <x:row r="32">
      <x:c r="A32" s="33" t="str">
        <x:f>IF(OR(B32="",D32=""),"",B32&amp;"-"&amp;IF(OR(C32="",C32="-"),"X",UPPER(C32))&amp;"-"&amp;TEXT(D32,"00"))</x:f>
      </x:c>
      <x:c r="B32" s="26"/>
      <x:c r="C32" s="26"/>
      <x:c r="D32" s="35"/>
      <x:c r="E32" s="28"/>
      <x:c r="F32" s="28"/>
      <x:c r="G32" s="28"/>
      <x:c r="H32" s="28"/>
      <x:c r="I32" s="28"/>
      <x:c r="J32" s="28"/>
      <x:c r="K32" s="28"/>
      <x:c r="L32" s="33"/>
      <x:c r="M32" s="33" t="str">
        <x:f>IF(E32="","CHỜ NHẬP","ĐÃ CÓ DỮ LIỆU")</x:f>
        <x:v>CHỜ NHẬP</x:v>
      </x:c>
      <x:c r="N32" s="33" t="str">
        <x:f>IF(AND(B32="",E32=""),"",IF(A32="","THIẾU ID",IF(COUNTIF($A$8:$A$34,A32)&gt;1,"TRÙNG ID",IF(COUNTIF(HANG_MUC!$A$6:$A$50,B32)=0,"SAI HẠNG MỤC","OK"))))</x:f>
      </x:c>
    </x:row>
    <x:row r="33">
      <x:c r="A33" s="33" t="str">
        <x:f>IF(OR(B33="",D33=""),"",B33&amp;"-"&amp;IF(OR(C33="",C33="-"),"X",UPPER(C33))&amp;"-"&amp;TEXT(D33,"00"))</x:f>
      </x:c>
      <x:c r="B33" s="26"/>
      <x:c r="C33" s="26"/>
      <x:c r="D33" s="35"/>
      <x:c r="E33" s="28"/>
      <x:c r="F33" s="28"/>
      <x:c r="G33" s="28"/>
      <x:c r="H33" s="28"/>
      <x:c r="I33" s="28"/>
      <x:c r="J33" s="28"/>
      <x:c r="K33" s="28"/>
      <x:c r="L33" s="33"/>
      <x:c r="M33" s="33" t="str">
        <x:f>IF(E33="","CHỜ NHẬP","ĐÃ CÓ DỮ LIỆU")</x:f>
        <x:v>CHỜ NHẬP</x:v>
      </x:c>
      <x:c r="N33" s="33" t="str">
        <x:f>IF(AND(B33="",E33=""),"",IF(A33="","THIẾU ID",IF(COUNTIF($A$8:$A$34,A33)&gt;1,"TRÙNG ID",IF(COUNTIF(HANG_MUC!$A$6:$A$50,B33)=0,"SAI HẠNG MỤC","OK"))))</x:f>
      </x:c>
    </x:row>
    <x:row r="34">
      <x:c r="A34" s="33" t="str">
        <x:f>IF(OR(B34="",D34=""),"",B34&amp;"-"&amp;IF(OR(C34="",C34="-"),"X",UPPER(C34))&amp;"-"&amp;TEXT(D34,"00"))</x:f>
      </x:c>
      <x:c r="B34" s="26"/>
      <x:c r="C34" s="26"/>
      <x:c r="D34" s="35"/>
      <x:c r="E34" s="28"/>
      <x:c r="F34" s="28"/>
      <x:c r="G34" s="28"/>
      <x:c r="H34" s="28"/>
      <x:c r="I34" s="28"/>
      <x:c r="J34" s="28"/>
      <x:c r="K34" s="28"/>
      <x:c r="L34" s="33"/>
      <x:c r="M34" s="33" t="str">
        <x:f>IF(E34="","CHỜ NHẬP","ĐÃ CÓ DỮ LIỆU")</x:f>
        <x:v>CHỜ NHẬP</x:v>
      </x:c>
      <x:c r="N34" s="33" t="str">
        <x:f>IF(AND(B34="",E34=""),"",IF(A34="","THIẾU ID",IF(COUNTIF($A$8:$A$34,A34)&gt;1,"TRÙNG ID",IF(COUNTIF(HANG_MUC!$A$6:$A$50,B34)=0,"SAI HẠNG MỤC","OK"))))</x:f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34">
    <x:cfRule type="containsText" dxfId="16" priority="1" operator="containsText" text="TRÙNG"/>
    <x:cfRule type="containsText" dxfId="17" priority="2" operator="containsText" text="SAI"/>
    <x:cfRule type="containsText" dxfId="18" priority="3" operator="containsText" text="THIẾU"/>
    <x:cfRule type="containsText" dxfId="19" priority="4" operator="containsText" text="OK"/>
  </x:conditionalFormatting>
  <x:conditionalFormatting sqref="M8:M34">
    <x:cfRule type="containsText" dxfId="20" priority="5" operator="containsText" text="CHỜ"/>
  </x:conditionalFormatting>
  <x:dataValidations count="3">
    <x:dataValidation type="list" sqref="B8:B34">
      <x:formula1>HANG_MUC!$A$16:$A$16</x:formula1>
    </x:dataValidation>
    <x:dataValidation type="list" sqref="C8:C34">
      <x:formula1>"-,A,B,C,D,E,F,G,H"</x:formula1>
    </x:dataValidation>
    <x:dataValidation type="whole" operator="between" sqref="D8:D34">
      <x:formula1>1</x:formula1>
      <x:formula2>999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Bóng đá nữ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BDNU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BDNU-DONGDOI-A-01</x:v>
      </x:c>
      <x:c r="B8" s="24" t="str">
        <x:v>BDNU-DONGDOI</x:v>
      </x:c>
      <x:c r="C8" s="24" t="str">
        <x:v>A</x:v>
      </x:c>
      <x:c r="D8" s="34" t="n">
        <x:v>1</x:v>
      </x:c>
      <x:c r="E8" s="27" t="str">
        <x:v>PTSC Quảng Ngãi</x:v>
      </x:c>
      <x:c r="F8" s="27" t="str"/>
      <x:c r="G8" s="27" t="str"/>
      <x:c r="H8" s="27" t="str"/>
      <x:c r="I8" s="27" t="str"/>
      <x:c r="J8" s="27" t="str"/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ID",IF(COUNTIF($A$8:$A$32,A8)&gt;1,"TRÙNG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BDNU-DONGDOI-A-02</x:v>
      </x:c>
      <x:c r="B9" s="26" t="str">
        <x:v>BDNU-DONGDOI</x:v>
      </x:c>
      <x:c r="C9" s="26" t="str">
        <x:v>A</x:v>
      </x:c>
      <x:c r="D9" s="35" t="n">
        <x:v>2</x:v>
      </x:c>
      <x:c r="E9" s="28" t="str">
        <x:v>Petro Hotel</x:v>
      </x:c>
      <x:c r="F9" s="28" t="str"/>
      <x:c r="G9" s="28" t="str"/>
      <x:c r="H9" s="28" t="str"/>
      <x:c r="I9" s="28" t="str"/>
      <x:c r="J9" s="28" t="str"/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ID",IF(COUNTIF($A$8:$A$32,A9)&gt;1,"TRÙNG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BDNU-DONGDOI-A-03</x:v>
      </x:c>
      <x:c r="B10" s="26" t="str">
        <x:v>BDNU-DONGDOI</x:v>
      </x:c>
      <x:c r="C10" s="26" t="str">
        <x:v>A</x:v>
      </x:c>
      <x:c r="D10" s="35" t="n">
        <x:v>3</x:v>
      </x:c>
      <x:c r="E10" s="28" t="str">
        <x:v>Liên quân PTSC HQ - PTSC Thanh Hóa</x:v>
      </x:c>
      <x:c r="F10" s="28" t="str"/>
      <x:c r="G10" s="28" t="str"/>
      <x:c r="H10" s="28" t="str"/>
      <x:c r="I10" s="28" t="str"/>
      <x:c r="J10" s="28" t="str"/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ID",IF(COUNTIF($A$8:$A$32,A10)&gt;1,"TRÙNG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BDNU-DONGDOI-A-04</x:v>
      </x:c>
      <x:c r="B11" s="26" t="str">
        <x:v>BDNU-DONGDOI</x:v>
      </x:c>
      <x:c r="C11" s="26" t="str">
        <x:v>A</x:v>
      </x:c>
      <x:c r="D11" s="35" t="n">
        <x:v>4</x:v>
      </x:c>
      <x:c r="E11" s="28" t="str">
        <x:v>PTSC M&amp;C</x:v>
      </x:c>
      <x:c r="F11" s="28" t="str"/>
      <x:c r="G11" s="28" t="str"/>
      <x:c r="H11" s="28" t="str"/>
      <x:c r="I11" s="28" t="str"/>
      <x:c r="J11" s="28" t="str"/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ID",IF(COUNTIF($A$8:$A$32,A11)&gt;1,"TRÙNG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BDNU-DONGDOI-A-05</x:v>
      </x:c>
      <x:c r="B12" s="26" t="str">
        <x:v>BDNU-DONGDOI</x:v>
      </x:c>
      <x:c r="C12" s="26" t="str">
        <x:v>A</x:v>
      </x:c>
      <x:c r="D12" s="35" t="n">
        <x:v>5</x:v>
      </x:c>
      <x:c r="E12" s="28" t="str">
        <x:v>POS</x:v>
      </x:c>
      <x:c r="F12" s="28" t="str"/>
      <x:c r="G12" s="28" t="str"/>
      <x:c r="H12" s="28" t="str"/>
      <x:c r="I12" s="28" t="str"/>
      <x:c r="J12" s="28" t="str"/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ID",IF(COUNTIF($A$8:$A$32,A12)&gt;1,"TRÙNG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</x:c>
      <x:c r="B13" s="26"/>
      <x:c r="C13" s="26"/>
      <x:c r="D13" s="35"/>
      <x:c r="E13" s="28"/>
      <x:c r="F13" s="28"/>
      <x:c r="G13" s="28"/>
      <x:c r="H13" s="28"/>
      <x:c r="I13" s="28"/>
      <x:c r="J13" s="28"/>
      <x:c r="K13" s="28"/>
      <x:c r="L13" s="33"/>
      <x:c r="M13" s="33" t="str">
        <x:f>IF(E13="","CHỜ NHẬP","ĐÃ CÓ DỮ LIỆU")</x:f>
        <x:v>CHỜ NHẬP</x:v>
      </x:c>
      <x:c r="N13" s="33" t="str">
        <x:f>IF(AND(B13="",E13=""),"",IF(A13="","THIẾU ID",IF(COUNTIF($A$8:$A$32,A13)&gt;1,"TRÙNG ID",IF(COUNTIF(HANG_MUC!$A$6:$A$50,B13)=0,"SAI HẠNG MỤC","OK"))))</x:f>
      </x:c>
    </x:row>
    <x:row r="14">
      <x:c r="A14" s="33" t="str">
        <x:f>IF(OR(B14="",D14=""),"",B14&amp;"-"&amp;IF(OR(C14="",C14="-"),"X",UPPER(C14))&amp;"-"&amp;TEXT(D14,"00"))</x:f>
      </x:c>
      <x:c r="B14" s="26"/>
      <x:c r="C14" s="26"/>
      <x:c r="D14" s="35"/>
      <x:c r="E14" s="28"/>
      <x:c r="F14" s="28"/>
      <x:c r="G14" s="28"/>
      <x:c r="H14" s="28"/>
      <x:c r="I14" s="28"/>
      <x:c r="J14" s="28"/>
      <x:c r="K14" s="28"/>
      <x:c r="L14" s="33"/>
      <x:c r="M14" s="33" t="str">
        <x:f>IF(E14="","CHỜ NHẬP","ĐÃ CÓ DỮ LIỆU")</x:f>
        <x:v>CHỜ NHẬP</x:v>
      </x:c>
      <x:c r="N14" s="33" t="str">
        <x:f>IF(AND(B14="",E14=""),"",IF(A14="","THIẾU ID",IF(COUNTIF($A$8:$A$32,A14)&gt;1,"TRÙNG ID",IF(COUNTIF(HANG_MUC!$A$6:$A$50,B14)=0,"SAI HẠNG MỤC","OK"))))</x:f>
      </x:c>
    </x:row>
    <x:row r="15">
      <x:c r="A15" s="33" t="str">
        <x:f>IF(OR(B15="",D15=""),"",B15&amp;"-"&amp;IF(OR(C15="",C15="-"),"X",UPPER(C15))&amp;"-"&amp;TEXT(D15,"00"))</x:f>
      </x:c>
      <x:c r="B15" s="26"/>
      <x:c r="C15" s="26"/>
      <x:c r="D15" s="35"/>
      <x:c r="E15" s="28"/>
      <x:c r="F15" s="28"/>
      <x:c r="G15" s="28"/>
      <x:c r="H15" s="28"/>
      <x:c r="I15" s="28"/>
      <x:c r="J15" s="28"/>
      <x:c r="K15" s="28"/>
      <x:c r="L15" s="33"/>
      <x:c r="M15" s="33" t="str">
        <x:f>IF(E15="","CHỜ NHẬP","ĐÃ CÓ DỮ LIỆU")</x:f>
        <x:v>CHỜ NHẬP</x:v>
      </x:c>
      <x:c r="N15" s="33" t="str">
        <x:f>IF(AND(B15="",E15=""),"",IF(A15="","THIẾU ID",IF(COUNTIF($A$8:$A$32,A15)&gt;1,"TRÙNG ID",IF(COUNTIF(HANG_MUC!$A$6:$A$50,B15)=0,"SAI HẠNG MỤC","OK"))))</x:f>
      </x:c>
    </x:row>
    <x:row r="16">
      <x:c r="A16" s="33" t="str">
        <x:f>IF(OR(B16="",D16=""),"",B16&amp;"-"&amp;IF(OR(C16="",C16="-"),"X",UPPER(C16))&amp;"-"&amp;TEXT(D16,"00"))</x:f>
      </x:c>
      <x:c r="B16" s="26"/>
      <x:c r="C16" s="26"/>
      <x:c r="D16" s="35"/>
      <x:c r="E16" s="28"/>
      <x:c r="F16" s="28"/>
      <x:c r="G16" s="28"/>
      <x:c r="H16" s="28"/>
      <x:c r="I16" s="28"/>
      <x:c r="J16" s="28"/>
      <x:c r="K16" s="28"/>
      <x:c r="L16" s="33"/>
      <x:c r="M16" s="33" t="str">
        <x:f>IF(E16="","CHỜ NHẬP","ĐÃ CÓ DỮ LIỆU")</x:f>
        <x:v>CHỜ NHẬP</x:v>
      </x:c>
      <x:c r="N16" s="33" t="str">
        <x:f>IF(AND(B16="",E16=""),"",IF(A16="","THIẾU ID",IF(COUNTIF($A$8:$A$32,A16)&gt;1,"TRÙNG ID",IF(COUNTIF(HANG_MUC!$A$6:$A$50,B16)=0,"SAI HẠNG MỤC","OK"))))</x:f>
      </x:c>
    </x:row>
    <x:row r="17">
      <x:c r="A17" s="33" t="str">
        <x:f>IF(OR(B17="",D17=""),"",B17&amp;"-"&amp;IF(OR(C17="",C17="-"),"X",UPPER(C17))&amp;"-"&amp;TEXT(D17,"00"))</x:f>
      </x:c>
      <x:c r="B17" s="26"/>
      <x:c r="C17" s="26"/>
      <x:c r="D17" s="35"/>
      <x:c r="E17" s="28"/>
      <x:c r="F17" s="28"/>
      <x:c r="G17" s="28"/>
      <x:c r="H17" s="28"/>
      <x:c r="I17" s="28"/>
      <x:c r="J17" s="28"/>
      <x:c r="K17" s="28"/>
      <x:c r="L17" s="33"/>
      <x:c r="M17" s="33" t="str">
        <x:f>IF(E17="","CHỜ NHẬP","ĐÃ CÓ DỮ LIỆU")</x:f>
        <x:v>CHỜ NHẬP</x:v>
      </x:c>
      <x:c r="N17" s="33" t="str">
        <x:f>IF(AND(B17="",E17=""),"",IF(A17="","THIẾU ID",IF(COUNTIF($A$8:$A$32,A17)&gt;1,"TRÙNG ID",IF(COUNTIF(HANG_MUC!$A$6:$A$50,B17)=0,"SAI HẠNG MỤC","OK"))))</x:f>
      </x:c>
    </x:row>
    <x:row r="18">
      <x:c r="A18" s="33" t="str">
        <x:f>IF(OR(B18="",D18=""),"",B18&amp;"-"&amp;IF(OR(C18="",C18="-"),"X",UPPER(C18))&amp;"-"&amp;TEXT(D18,"00"))</x:f>
      </x:c>
      <x:c r="B18" s="26"/>
      <x:c r="C18" s="26"/>
      <x:c r="D18" s="35"/>
      <x:c r="E18" s="28"/>
      <x:c r="F18" s="28"/>
      <x:c r="G18" s="28"/>
      <x:c r="H18" s="28"/>
      <x:c r="I18" s="28"/>
      <x:c r="J18" s="28"/>
      <x:c r="K18" s="28"/>
      <x:c r="L18" s="33"/>
      <x:c r="M18" s="33" t="str">
        <x:f>IF(E18="","CHỜ NHẬP","ĐÃ CÓ DỮ LIỆU")</x:f>
        <x:v>CHỜ NHẬP</x:v>
      </x:c>
      <x:c r="N18" s="33" t="str">
        <x:f>IF(AND(B18="",E18=""),"",IF(A18="","THIẾU ID",IF(COUNTIF($A$8:$A$32,A18)&gt;1,"TRÙNG ID",IF(COUNTIF(HANG_MUC!$A$6:$A$50,B18)=0,"SAI HẠNG MỤC","OK"))))</x:f>
      </x:c>
    </x:row>
    <x:row r="19">
      <x:c r="A19" s="33" t="str">
        <x:f>IF(OR(B19="",D19=""),"",B19&amp;"-"&amp;IF(OR(C19="",C19="-"),"X",UPPER(C19))&amp;"-"&amp;TEXT(D19,"00"))</x:f>
      </x:c>
      <x:c r="B19" s="26"/>
      <x:c r="C19" s="26"/>
      <x:c r="D19" s="35"/>
      <x:c r="E19" s="28"/>
      <x:c r="F19" s="28"/>
      <x:c r="G19" s="28"/>
      <x:c r="H19" s="28"/>
      <x:c r="I19" s="28"/>
      <x:c r="J19" s="28"/>
      <x:c r="K19" s="28"/>
      <x:c r="L19" s="33"/>
      <x:c r="M19" s="33" t="str">
        <x:f>IF(E19="","CHỜ NHẬP","ĐÃ CÓ DỮ LIỆU")</x:f>
        <x:v>CHỜ NHẬP</x:v>
      </x:c>
      <x:c r="N19" s="33" t="str">
        <x:f>IF(AND(B19="",E19=""),"",IF(A19="","THIẾU ID",IF(COUNTIF($A$8:$A$32,A19)&gt;1,"TRÙNG ID",IF(COUNTIF(HANG_MUC!$A$6:$A$50,B19)=0,"SAI HẠNG MỤC","OK"))))</x:f>
      </x:c>
    </x:row>
    <x:row r="20">
      <x:c r="A20" s="33" t="str">
        <x:f>IF(OR(B20="",D20=""),"",B20&amp;"-"&amp;IF(OR(C20="",C20="-"),"X",UPPER(C20))&amp;"-"&amp;TEXT(D20,"00"))</x:f>
      </x:c>
      <x:c r="B20" s="26"/>
      <x:c r="C20" s="26"/>
      <x:c r="D20" s="35"/>
      <x:c r="E20" s="28"/>
      <x:c r="F20" s="28"/>
      <x:c r="G20" s="28"/>
      <x:c r="H20" s="28"/>
      <x:c r="I20" s="28"/>
      <x:c r="J20" s="28"/>
      <x:c r="K20" s="28"/>
      <x:c r="L20" s="33"/>
      <x:c r="M20" s="33" t="str">
        <x:f>IF(E20="","CHỜ NHẬP","ĐÃ CÓ DỮ LIỆU")</x:f>
        <x:v>CHỜ NHẬP</x:v>
      </x:c>
      <x:c r="N20" s="33" t="str">
        <x:f>IF(AND(B20="",E20=""),"",IF(A20="","THIẾU ID",IF(COUNTIF($A$8:$A$32,A20)&gt;1,"TRÙNG ID",IF(COUNTIF(HANG_MUC!$A$6:$A$50,B20)=0,"SAI HẠNG MỤC","OK"))))</x:f>
      </x:c>
    </x:row>
    <x:row r="21">
      <x:c r="A21" s="33" t="str">
        <x:f>IF(OR(B21="",D21=""),"",B21&amp;"-"&amp;IF(OR(C21="",C21="-"),"X",UPPER(C21))&amp;"-"&amp;TEXT(D21,"00"))</x:f>
      </x:c>
      <x:c r="B21" s="26"/>
      <x:c r="C21" s="26"/>
      <x:c r="D21" s="35"/>
      <x:c r="E21" s="28"/>
      <x:c r="F21" s="28"/>
      <x:c r="G21" s="28"/>
      <x:c r="H21" s="28"/>
      <x:c r="I21" s="28"/>
      <x:c r="J21" s="28"/>
      <x:c r="K21" s="28"/>
      <x:c r="L21" s="33"/>
      <x:c r="M21" s="33" t="str">
        <x:f>IF(E21="","CHỜ NHẬP","ĐÃ CÓ DỮ LIỆU")</x:f>
        <x:v>CHỜ NHẬP</x:v>
      </x:c>
      <x:c r="N21" s="33" t="str">
        <x:f>IF(AND(B21="",E21=""),"",IF(A21="","THIẾU ID",IF(COUNTIF($A$8:$A$32,A21)&gt;1,"TRÙNG ID",IF(COUNTIF(HANG_MUC!$A$6:$A$50,B21)=0,"SAI HẠNG MỤC","OK"))))</x:f>
      </x:c>
    </x:row>
    <x:row r="22">
      <x:c r="A22" s="33" t="str">
        <x:f>IF(OR(B22="",D22=""),"",B22&amp;"-"&amp;IF(OR(C22="",C22="-"),"X",UPPER(C22))&amp;"-"&amp;TEXT(D22,"00"))</x:f>
      </x:c>
      <x:c r="B22" s="26"/>
      <x:c r="C22" s="26"/>
      <x:c r="D22" s="35"/>
      <x:c r="E22" s="28"/>
      <x:c r="F22" s="28"/>
      <x:c r="G22" s="28"/>
      <x:c r="H22" s="28"/>
      <x:c r="I22" s="28"/>
      <x:c r="J22" s="28"/>
      <x:c r="K22" s="28"/>
      <x:c r="L22" s="33"/>
      <x:c r="M22" s="33" t="str">
        <x:f>IF(E22="","CHỜ NHẬP","ĐÃ CÓ DỮ LIỆU")</x:f>
        <x:v>CHỜ NHẬP</x:v>
      </x:c>
      <x:c r="N22" s="33" t="str">
        <x:f>IF(AND(B22="",E22=""),"",IF(A22="","THIẾU ID",IF(COUNTIF($A$8:$A$32,A22)&gt;1,"TRÙNG ID",IF(COUNTIF(HANG_MUC!$A$6:$A$50,B22)=0,"SAI HẠNG MỤC","OK"))))</x:f>
      </x:c>
    </x:row>
    <x:row r="23">
      <x:c r="A23" s="33" t="str">
        <x:f>IF(OR(B23="",D23=""),"",B23&amp;"-"&amp;IF(OR(C23="",C23="-"),"X",UPPER(C23))&amp;"-"&amp;TEXT(D23,"00"))</x:f>
      </x:c>
      <x:c r="B23" s="26"/>
      <x:c r="C23" s="26"/>
      <x:c r="D23" s="35"/>
      <x:c r="E23" s="28"/>
      <x:c r="F23" s="28"/>
      <x:c r="G23" s="28"/>
      <x:c r="H23" s="28"/>
      <x:c r="I23" s="28"/>
      <x:c r="J23" s="28"/>
      <x:c r="K23" s="28"/>
      <x:c r="L23" s="33"/>
      <x:c r="M23" s="33" t="str">
        <x:f>IF(E23="","CHỜ NHẬP","ĐÃ CÓ DỮ LIỆU")</x:f>
        <x:v>CHỜ NHẬP</x:v>
      </x:c>
      <x:c r="N23" s="33" t="str">
        <x:f>IF(AND(B23="",E23=""),"",IF(A23="","THIẾU ID",IF(COUNTIF($A$8:$A$32,A23)&gt;1,"TRÙNG ID",IF(COUNTIF(HANG_MUC!$A$6:$A$50,B23)=0,"SAI HẠNG MỤC","OK"))))</x:f>
      </x:c>
    </x:row>
    <x:row r="24">
      <x:c r="A24" s="33" t="str">
        <x:f>IF(OR(B24="",D24=""),"",B24&amp;"-"&amp;IF(OR(C24="",C24="-"),"X",UPPER(C24))&amp;"-"&amp;TEXT(D24,"00"))</x:f>
      </x:c>
      <x:c r="B24" s="26"/>
      <x:c r="C24" s="26"/>
      <x:c r="D24" s="35"/>
      <x:c r="E24" s="28"/>
      <x:c r="F24" s="28"/>
      <x:c r="G24" s="28"/>
      <x:c r="H24" s="28"/>
      <x:c r="I24" s="28"/>
      <x:c r="J24" s="28"/>
      <x:c r="K24" s="28"/>
      <x:c r="L24" s="33"/>
      <x:c r="M24" s="33" t="str">
        <x:f>IF(E24="","CHỜ NHẬP","ĐÃ CÓ DỮ LIỆU")</x:f>
        <x:v>CHỜ NHẬP</x:v>
      </x:c>
      <x:c r="N24" s="33" t="str">
        <x:f>IF(AND(B24="",E24=""),"",IF(A24="","THIẾU ID",IF(COUNTIF($A$8:$A$32,A24)&gt;1,"TRÙNG ID",IF(COUNTIF(HANG_MUC!$A$6:$A$50,B24)=0,"SAI HẠNG MỤC","OK"))))</x:f>
      </x:c>
    </x:row>
    <x:row r="25">
      <x:c r="A25" s="33" t="str">
        <x:f>IF(OR(B25="",D25=""),"",B25&amp;"-"&amp;IF(OR(C25="",C25="-"),"X",UPPER(C25))&amp;"-"&amp;TEXT(D25,"00"))</x:f>
      </x:c>
      <x:c r="B25" s="26"/>
      <x:c r="C25" s="26"/>
      <x:c r="D25" s="35"/>
      <x:c r="E25" s="28"/>
      <x:c r="F25" s="28"/>
      <x:c r="G25" s="28"/>
      <x:c r="H25" s="28"/>
      <x:c r="I25" s="28"/>
      <x:c r="J25" s="28"/>
      <x:c r="K25" s="28"/>
      <x:c r="L25" s="33"/>
      <x:c r="M25" s="33" t="str">
        <x:f>IF(E25="","CHỜ NHẬP","ĐÃ CÓ DỮ LIỆU")</x:f>
        <x:v>CHỜ NHẬP</x:v>
      </x:c>
      <x:c r="N25" s="33" t="str">
        <x:f>IF(AND(B25="",E25=""),"",IF(A25="","THIẾU ID",IF(COUNTIF($A$8:$A$32,A25)&gt;1,"TRÙNG ID",IF(COUNTIF(HANG_MUC!$A$6:$A$50,B25)=0,"SAI HẠNG MỤC","OK"))))</x:f>
      </x:c>
    </x:row>
    <x:row r="26">
      <x:c r="A26" s="33" t="str">
        <x:f>IF(OR(B26="",D26=""),"",B26&amp;"-"&amp;IF(OR(C26="",C26="-"),"X",UPPER(C26))&amp;"-"&amp;TEXT(D26,"00"))</x:f>
      </x:c>
      <x:c r="B26" s="26"/>
      <x:c r="C26" s="26"/>
      <x:c r="D26" s="35"/>
      <x:c r="E26" s="28"/>
      <x:c r="F26" s="28"/>
      <x:c r="G26" s="28"/>
      <x:c r="H26" s="28"/>
      <x:c r="I26" s="28"/>
      <x:c r="J26" s="28"/>
      <x:c r="K26" s="28"/>
      <x:c r="L26" s="33"/>
      <x:c r="M26" s="33" t="str">
        <x:f>IF(E26="","CHỜ NHẬP","ĐÃ CÓ DỮ LIỆU")</x:f>
        <x:v>CHỜ NHẬP</x:v>
      </x:c>
      <x:c r="N26" s="33" t="str">
        <x:f>IF(AND(B26="",E26=""),"",IF(A26="","THIẾU ID",IF(COUNTIF($A$8:$A$32,A26)&gt;1,"TRÙNG ID",IF(COUNTIF(HANG_MUC!$A$6:$A$50,B26)=0,"SAI HẠNG MỤC","OK"))))</x:f>
      </x:c>
    </x:row>
    <x:row r="27">
      <x:c r="A27" s="33" t="str">
        <x:f>IF(OR(B27="",D27=""),"",B27&amp;"-"&amp;IF(OR(C27="",C27="-"),"X",UPPER(C27))&amp;"-"&amp;TEXT(D27,"00"))</x:f>
      </x:c>
      <x:c r="B27" s="26"/>
      <x:c r="C27" s="26"/>
      <x:c r="D27" s="35"/>
      <x:c r="E27" s="28"/>
      <x:c r="F27" s="28"/>
      <x:c r="G27" s="28"/>
      <x:c r="H27" s="28"/>
      <x:c r="I27" s="28"/>
      <x:c r="J27" s="28"/>
      <x:c r="K27" s="28"/>
      <x:c r="L27" s="33"/>
      <x:c r="M27" s="33" t="str">
        <x:f>IF(E27="","CHỜ NHẬP","ĐÃ CÓ DỮ LIỆU")</x:f>
        <x:v>CHỜ NHẬP</x:v>
      </x:c>
      <x:c r="N27" s="33" t="str">
        <x:f>IF(AND(B27="",E27=""),"",IF(A27="","THIẾU ID",IF(COUNTIF($A$8:$A$32,A27)&gt;1,"TRÙNG ID",IF(COUNTIF(HANG_MUC!$A$6:$A$50,B27)=0,"SAI HẠNG MỤC","OK"))))</x:f>
      </x:c>
    </x:row>
    <x:row r="28">
      <x:c r="A28" s="33" t="str">
        <x:f>IF(OR(B28="",D28=""),"",B28&amp;"-"&amp;IF(OR(C28="",C28="-"),"X",UPPER(C28))&amp;"-"&amp;TEXT(D28,"00"))</x:f>
      </x:c>
      <x:c r="B28" s="26"/>
      <x:c r="C28" s="26"/>
      <x:c r="D28" s="35"/>
      <x:c r="E28" s="28"/>
      <x:c r="F28" s="28"/>
      <x:c r="G28" s="28"/>
      <x:c r="H28" s="28"/>
      <x:c r="I28" s="28"/>
      <x:c r="J28" s="28"/>
      <x:c r="K28" s="28"/>
      <x:c r="L28" s="33"/>
      <x:c r="M28" s="33" t="str">
        <x:f>IF(E28="","CHỜ NHẬP","ĐÃ CÓ DỮ LIỆU")</x:f>
        <x:v>CHỜ NHẬP</x:v>
      </x:c>
      <x:c r="N28" s="33" t="str">
        <x:f>IF(AND(B28="",E28=""),"",IF(A28="","THIẾU ID",IF(COUNTIF($A$8:$A$32,A28)&gt;1,"TRÙNG ID",IF(COUNTIF(HANG_MUC!$A$6:$A$50,B28)=0,"SAI HẠNG MỤC","OK"))))</x:f>
      </x:c>
    </x:row>
    <x:row r="29">
      <x:c r="A29" s="33" t="str">
        <x:f>IF(OR(B29="",D29=""),"",B29&amp;"-"&amp;IF(OR(C29="",C29="-"),"X",UPPER(C29))&amp;"-"&amp;TEXT(D29,"00"))</x:f>
      </x:c>
      <x:c r="B29" s="26"/>
      <x:c r="C29" s="26"/>
      <x:c r="D29" s="35"/>
      <x:c r="E29" s="28"/>
      <x:c r="F29" s="28"/>
      <x:c r="G29" s="28"/>
      <x:c r="H29" s="28"/>
      <x:c r="I29" s="28"/>
      <x:c r="J29" s="28"/>
      <x:c r="K29" s="28"/>
      <x:c r="L29" s="33"/>
      <x:c r="M29" s="33" t="str">
        <x:f>IF(E29="","CHỜ NHẬP","ĐÃ CÓ DỮ LIỆU")</x:f>
        <x:v>CHỜ NHẬP</x:v>
      </x:c>
      <x:c r="N29" s="33" t="str">
        <x:f>IF(AND(B29="",E29=""),"",IF(A29="","THIẾU ID",IF(COUNTIF($A$8:$A$32,A29)&gt;1,"TRÙNG ID",IF(COUNTIF(HANG_MUC!$A$6:$A$50,B29)=0,"SAI HẠNG MỤC","OK"))))</x:f>
      </x:c>
    </x:row>
    <x:row r="30">
      <x:c r="A30" s="33" t="str">
        <x:f>IF(OR(B30="",D30=""),"",B30&amp;"-"&amp;IF(OR(C30="",C30="-"),"X",UPPER(C30))&amp;"-"&amp;TEXT(D30,"00"))</x:f>
      </x:c>
      <x:c r="B30" s="26"/>
      <x:c r="C30" s="26"/>
      <x:c r="D30" s="35"/>
      <x:c r="E30" s="28"/>
      <x:c r="F30" s="28"/>
      <x:c r="G30" s="28"/>
      <x:c r="H30" s="28"/>
      <x:c r="I30" s="28"/>
      <x:c r="J30" s="28"/>
      <x:c r="K30" s="28"/>
      <x:c r="L30" s="33"/>
      <x:c r="M30" s="33" t="str">
        <x:f>IF(E30="","CHỜ NHẬP","ĐÃ CÓ DỮ LIỆU")</x:f>
        <x:v>CHỜ NHẬP</x:v>
      </x:c>
      <x:c r="N30" s="33" t="str">
        <x:f>IF(AND(B30="",E30=""),"",IF(A30="","THIẾU ID",IF(COUNTIF($A$8:$A$32,A30)&gt;1,"TRÙNG ID",IF(COUNTIF(HANG_MUC!$A$6:$A$50,B30)=0,"SAI HẠNG MỤC","OK"))))</x:f>
      </x:c>
    </x:row>
    <x:row r="31">
      <x:c r="A31" s="33" t="str">
        <x:f>IF(OR(B31="",D31=""),"",B31&amp;"-"&amp;IF(OR(C31="",C31="-"),"X",UPPER(C31))&amp;"-"&amp;TEXT(D31,"00"))</x:f>
      </x:c>
      <x:c r="B31" s="26"/>
      <x:c r="C31" s="26"/>
      <x:c r="D31" s="35"/>
      <x:c r="E31" s="28"/>
      <x:c r="F31" s="28"/>
      <x:c r="G31" s="28"/>
      <x:c r="H31" s="28"/>
      <x:c r="I31" s="28"/>
      <x:c r="J31" s="28"/>
      <x:c r="K31" s="28"/>
      <x:c r="L31" s="33"/>
      <x:c r="M31" s="33" t="str">
        <x:f>IF(E31="","CHỜ NHẬP","ĐÃ CÓ DỮ LIỆU")</x:f>
        <x:v>CHỜ NHẬP</x:v>
      </x:c>
      <x:c r="N31" s="33" t="str">
        <x:f>IF(AND(B31="",E31=""),"",IF(A31="","THIẾU ID",IF(COUNTIF($A$8:$A$32,A31)&gt;1,"TRÙNG ID",IF(COUNTIF(HANG_MUC!$A$6:$A$50,B31)=0,"SAI HẠNG MỤC","OK"))))</x:f>
      </x:c>
    </x:row>
    <x:row r="32">
      <x:c r="A32" s="33" t="str">
        <x:f>IF(OR(B32="",D32=""),"",B32&amp;"-"&amp;IF(OR(C32="",C32="-"),"X",UPPER(C32))&amp;"-"&amp;TEXT(D32,"00"))</x:f>
      </x:c>
      <x:c r="B32" s="26"/>
      <x:c r="C32" s="26"/>
      <x:c r="D32" s="35"/>
      <x:c r="E32" s="28"/>
      <x:c r="F32" s="28"/>
      <x:c r="G32" s="28"/>
      <x:c r="H32" s="28"/>
      <x:c r="I32" s="28"/>
      <x:c r="J32" s="28"/>
      <x:c r="K32" s="28"/>
      <x:c r="L32" s="33"/>
      <x:c r="M32" s="33" t="str">
        <x:f>IF(E32="","CHỜ NHẬP","ĐÃ CÓ DỮ LIỆU")</x:f>
        <x:v>CHỜ NHẬP</x:v>
      </x:c>
      <x:c r="N32" s="33" t="str">
        <x:f>IF(AND(B32="",E32=""),"",IF(A32="","THIẾU ID",IF(COUNTIF($A$8:$A$32,A32)&gt;1,"TRÙNG ID",IF(COUNTIF(HANG_MUC!$A$6:$A$50,B32)=0,"SAI HẠNG MỤC","OK"))))</x:f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32">
    <x:cfRule type="containsText" dxfId="21" priority="1" operator="containsText" text="TRÙNG"/>
    <x:cfRule type="containsText" dxfId="22" priority="2" operator="containsText" text="SAI"/>
    <x:cfRule type="containsText" dxfId="23" priority="3" operator="containsText" text="THIẾU"/>
    <x:cfRule type="containsText" dxfId="24" priority="4" operator="containsText" text="OK"/>
  </x:conditionalFormatting>
  <x:conditionalFormatting sqref="M8:M32">
    <x:cfRule type="containsText" dxfId="25" priority="5" operator="containsText" text="CHỜ"/>
  </x:conditionalFormatting>
  <x:dataValidations count="3">
    <x:dataValidation type="list" sqref="B8:B32">
      <x:formula1>HANG_MUC!$A$17:$A$17</x:formula1>
    </x:dataValidation>
    <x:dataValidation type="list" sqref="C8:C32">
      <x:formula1>"-,A,B,C,D,E,F,G,H"</x:formula1>
    </x:dataValidation>
    <x:dataValidation type="whole" operator="between" sqref="D8:D32">
      <x:formula1>1</x:formula1>
      <x:formula2>999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Cầu lông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CL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CL-DON-NAM45-A-01</x:v>
      </x:c>
      <x:c r="B8" s="24" t="str">
        <x:v>CL-DON-NAM45</x:v>
      </x:c>
      <x:c r="C8" s="24" t="str">
        <x:v>A</x:v>
      </x:c>
      <x:c r="D8" s="34" t="n">
        <x:v>1</x:v>
      </x:c>
      <x:c r="E8" s="27" t="str">
        <x:v>Trần Gia Huy</x:v>
      </x:c>
      <x:c r="F8" s="27" t="str"/>
      <x:c r="G8" s="27" t="str"/>
      <x:c r="H8" s="27" t="str"/>
      <x:c r="I8" s="27" t="str"/>
      <x:c r="J8" s="27" t="str">
        <x:v>PPS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ID",IF(COUNTIF($A$8:$A$67,A8)&gt;1,"TRÙNG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CL-DON-NAM45-A-02</x:v>
      </x:c>
      <x:c r="B9" s="26" t="str">
        <x:v>CL-DON-NAM45</x:v>
      </x:c>
      <x:c r="C9" s="26" t="str">
        <x:v>A</x:v>
      </x:c>
      <x:c r="D9" s="35" t="n">
        <x:v>2</x:v>
      </x:c>
      <x:c r="E9" s="28" t="str">
        <x:v>Nguyễn Văn Giáp</x:v>
      </x:c>
      <x:c r="F9" s="28" t="str"/>
      <x:c r="G9" s="28" t="str"/>
      <x:c r="H9" s="28" t="str"/>
      <x:c r="I9" s="28" t="str"/>
      <x:c r="J9" s="28" t="str">
        <x:v>PVSHIPYARD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ID",IF(COUNTIF($A$8:$A$67,A9)&gt;1,"TRÙNG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CL-DON-NAM45-A-03</x:v>
      </x:c>
      <x:c r="B10" s="26" t="str">
        <x:v>CL-DON-NAM45</x:v>
      </x:c>
      <x:c r="C10" s="26" t="str">
        <x:v>A</x:v>
      </x:c>
      <x:c r="D10" s="35" t="n">
        <x:v>3</x:v>
      </x:c>
      <x:c r="E10" s="28" t="str">
        <x:v>Nguyễn Huỳnh Hưng Thịnh</x:v>
      </x:c>
      <x:c r="F10" s="28" t="str"/>
      <x:c r="G10" s="28" t="str"/>
      <x:c r="H10" s="28" t="str"/>
      <x:c r="I10" s="28" t="str"/>
      <x:c r="J10" s="28" t="str">
        <x:v>PTSC M&amp;C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ID",IF(COUNTIF($A$8:$A$67,A10)&gt;1,"TRÙNG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CL-DON-NAM45-A-04</x:v>
      </x:c>
      <x:c r="B11" s="26" t="str">
        <x:v>CL-DON-NAM45</x:v>
      </x:c>
      <x:c r="C11" s="26" t="str">
        <x:v>A</x:v>
      </x:c>
      <x:c r="D11" s="35" t="n">
        <x:v>4</x:v>
      </x:c>
      <x:c r="E11" s="28" t="str">
        <x:v>Nguyễn Hữu Khánh</x:v>
      </x:c>
      <x:c r="F11" s="28" t="str"/>
      <x:c r="G11" s="28" t="str"/>
      <x:c r="H11" s="28" t="str"/>
      <x:c r="I11" s="28" t="str"/>
      <x:c r="J11" s="28" t="str">
        <x:v>PTSC Thanh Hóa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ID",IF(COUNTIF($A$8:$A$67,A11)&gt;1,"TRÙNG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CL-DON-NAM45-B-01</x:v>
      </x:c>
      <x:c r="B12" s="26" t="str">
        <x:v>CL-DON-NAM45</x:v>
      </x:c>
      <x:c r="C12" s="26" t="str">
        <x:v>B</x:v>
      </x:c>
      <x:c r="D12" s="35" t="n">
        <x:v>1</x:v>
      </x:c>
      <x:c r="E12" s="28" t="str">
        <x:v>Nguyễn Trung Anh</x:v>
      </x:c>
      <x:c r="F12" s="28" t="str"/>
      <x:c r="G12" s="28" t="str"/>
      <x:c r="H12" s="28" t="str"/>
      <x:c r="I12" s="28" t="str"/>
      <x:c r="J12" s="28" t="str">
        <x:v>PVSecurity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ID",IF(COUNTIF($A$8:$A$67,A12)&gt;1,"TRÙNG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CL-DON-NAM45-B-02</x:v>
      </x:c>
      <x:c r="B13" s="26" t="str">
        <x:v>CL-DON-NAM45</x:v>
      </x:c>
      <x:c r="C13" s="26" t="str">
        <x:v>B</x:v>
      </x:c>
      <x:c r="D13" s="35" t="n">
        <x:v>2</x:v>
      </x:c>
      <x:c r="E13" s="28" t="str">
        <x:v>Đào Văn Khởi</x:v>
      </x:c>
      <x:c r="F13" s="28" t="str"/>
      <x:c r="G13" s="28" t="str"/>
      <x:c r="H13" s="28" t="str"/>
      <x:c r="I13" s="28" t="str"/>
      <x:c r="J13" s="28" t="str">
        <x:v>PVSHIPYARD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ID",IF(COUNTIF($A$8:$A$67,A13)&gt;1,"TRÙNG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CL-DON-NAM45-B-03</x:v>
      </x:c>
      <x:c r="B14" s="26" t="str">
        <x:v>CL-DON-NAM45</x:v>
      </x:c>
      <x:c r="C14" s="26" t="str">
        <x:v>B</x:v>
      </x:c>
      <x:c r="D14" s="35" t="n">
        <x:v>3</x:v>
      </x:c>
      <x:c r="E14" s="28" t="str">
        <x:v>Nguyễn Quang Đảng</x:v>
      </x:c>
      <x:c r="F14" s="28" t="str"/>
      <x:c r="G14" s="28" t="str"/>
      <x:c r="H14" s="28" t="str"/>
      <x:c r="I14" s="28" t="str"/>
      <x:c r="J14" s="28" t="str">
        <x:v>PTSC Long Phú</x:v>
      </x:c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ID",IF(COUNTIF($A$8:$A$67,A14)&gt;1,"TRÙNG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CL-DON-NAM45-B-04</x:v>
      </x:c>
      <x:c r="B15" s="26" t="str">
        <x:v>CL-DON-NAM45</x:v>
      </x:c>
      <x:c r="C15" s="26" t="str">
        <x:v>B</x:v>
      </x:c>
      <x:c r="D15" s="35" t="n">
        <x:v>4</x:v>
      </x:c>
      <x:c r="E15" s="28" t="str">
        <x:v>Hoàng Minh Trí</x:v>
      </x:c>
      <x:c r="F15" s="28" t="str"/>
      <x:c r="G15" s="28" t="str"/>
      <x:c r="H15" s="28" t="str"/>
      <x:c r="I15" s="28" t="str"/>
      <x:c r="J15" s="28" t="str">
        <x:v>PTSC M&amp;C</x:v>
      </x:c>
      <x:c r="K15" s="28" t="str"/>
      <x:c r="L15" s="33" t="n">
        <x:v>1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ID",IF(COUNTIF($A$8:$A$67,A15)&gt;1,"TRÙNG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CL-DON-NAM46-A-01</x:v>
      </x:c>
      <x:c r="B16" s="26" t="str">
        <x:v>CL-DON-NAM46</x:v>
      </x:c>
      <x:c r="C16" s="26" t="str">
        <x:v>A</x:v>
      </x:c>
      <x:c r="D16" s="35" t="n">
        <x:v>1</x:v>
      </x:c>
      <x:c r="E16" s="28" t="str">
        <x:v>Nguyễn Hồng Khê</x:v>
      </x:c>
      <x:c r="F16" s="28" t="str"/>
      <x:c r="G16" s="28" t="str"/>
      <x:c r="H16" s="28" t="str"/>
      <x:c r="I16" s="28" t="str"/>
      <x:c r="J16" s="28" t="str">
        <x:v>PTSC Supply Base</x:v>
      </x:c>
      <x:c r="K16" s="28" t="str"/>
      <x:c r="L16" s="33" t="n">
        <x:v>2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ID",IF(COUNTIF($A$8:$A$67,A16)&gt;1,"TRÙNG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CL-DON-NAM46-A-02</x:v>
      </x:c>
      <x:c r="B17" s="26" t="str">
        <x:v>CL-DON-NAM46</x:v>
      </x:c>
      <x:c r="C17" s="26" t="str">
        <x:v>A</x:v>
      </x:c>
      <x:c r="D17" s="35" t="n">
        <x:v>2</x:v>
      </x:c>
      <x:c r="E17" s="28" t="str">
        <x:v>Phạm Thanh Hiển</x:v>
      </x:c>
      <x:c r="F17" s="28" t="str"/>
      <x:c r="G17" s="28" t="str"/>
      <x:c r="H17" s="28" t="str"/>
      <x:c r="I17" s="28" t="str"/>
      <x:c r="J17" s="28" t="str">
        <x:v>PTSC M&amp;C</x:v>
      </x:c>
      <x:c r="K17" s="28" t="str"/>
      <x:c r="L17" s="33" t="n">
        <x:v>2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ID",IF(COUNTIF($A$8:$A$67,A17)&gt;1,"TRÙNG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CL-DON-NAM46-A-03</x:v>
      </x:c>
      <x:c r="B18" s="26" t="str">
        <x:v>CL-DON-NAM46</x:v>
      </x:c>
      <x:c r="C18" s="26" t="str">
        <x:v>A</x:v>
      </x:c>
      <x:c r="D18" s="35" t="n">
        <x:v>3</x:v>
      </x:c>
      <x:c r="E18" s="28" t="str">
        <x:v>Ngô Đình Kiên</x:v>
      </x:c>
      <x:c r="F18" s="28" t="str"/>
      <x:c r="G18" s="28" t="str"/>
      <x:c r="H18" s="28" t="str"/>
      <x:c r="I18" s="28" t="str"/>
      <x:c r="J18" s="28" t="str">
        <x:v>PTSC Đình Vũ</x:v>
      </x:c>
      <x:c r="K18" s="28" t="str"/>
      <x:c r="L18" s="33" t="n">
        <x:v>2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ID",IF(COUNTIF($A$8:$A$67,A18)&gt;1,"TRÙNG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CL-DON-NAM46-A-04</x:v>
      </x:c>
      <x:c r="B19" s="26" t="str">
        <x:v>CL-DON-NAM46</x:v>
      </x:c>
      <x:c r="C19" s="26" t="str">
        <x:v>A</x:v>
      </x:c>
      <x:c r="D19" s="35" t="n">
        <x:v>4</x:v>
      </x:c>
      <x:c r="E19" s="28" t="str">
        <x:v>Nguyễn Hùng Thịnh</x:v>
      </x:c>
      <x:c r="F19" s="28" t="str"/>
      <x:c r="G19" s="28" t="str"/>
      <x:c r="H19" s="28" t="str"/>
      <x:c r="I19" s="28" t="str"/>
      <x:c r="J19" s="28" t="str">
        <x:v>PTSC M&amp;C</x:v>
      </x:c>
      <x:c r="K19" s="28" t="str"/>
      <x:c r="L19" s="33" t="n">
        <x:v>2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ID",IF(COUNTIF($A$8:$A$67,A19)&gt;1,"TRÙNG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CL-DON-NAM46-B-01</x:v>
      </x:c>
      <x:c r="B20" s="26" t="str">
        <x:v>CL-DON-NAM46</x:v>
      </x:c>
      <x:c r="C20" s="26" t="str">
        <x:v>B</x:v>
      </x:c>
      <x:c r="D20" s="35" t="n">
        <x:v>1</x:v>
      </x:c>
      <x:c r="E20" s="28" t="str">
        <x:v>Nguyễn Trung Hải</x:v>
      </x:c>
      <x:c r="F20" s="28" t="str"/>
      <x:c r="G20" s="28" t="str"/>
      <x:c r="H20" s="28" t="str"/>
      <x:c r="I20" s="28" t="str"/>
      <x:c r="J20" s="28" t="str">
        <x:v>PTSC Supply Base</x:v>
      </x:c>
      <x:c r="K20" s="28" t="str"/>
      <x:c r="L20" s="33" t="n">
        <x:v>2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ID",IF(COUNTIF($A$8:$A$67,A20)&gt;1,"TRÙNG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CL-DON-NAM46-B-02</x:v>
      </x:c>
      <x:c r="B21" s="26" t="str">
        <x:v>CL-DON-NAM46</x:v>
      </x:c>
      <x:c r="C21" s="26" t="str">
        <x:v>B</x:v>
      </x:c>
      <x:c r="D21" s="35" t="n">
        <x:v>2</x:v>
      </x:c>
      <x:c r="E21" s="28" t="str">
        <x:v>Phạm Trung Hiếu</x:v>
      </x:c>
      <x:c r="F21" s="28" t="str"/>
      <x:c r="G21" s="28" t="str"/>
      <x:c r="H21" s="28" t="str"/>
      <x:c r="I21" s="28" t="str"/>
      <x:c r="J21" s="28" t="str">
        <x:v>PTSC Phú Mỹ</x:v>
      </x:c>
      <x:c r="K21" s="28" t="str"/>
      <x:c r="L21" s="33" t="n">
        <x:v>2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ID",IF(COUNTIF($A$8:$A$67,A21)&gt;1,"TRÙNG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CL-DON-NAM46-B-03</x:v>
      </x:c>
      <x:c r="B22" s="26" t="str">
        <x:v>CL-DON-NAM46</x:v>
      </x:c>
      <x:c r="C22" s="26" t="str">
        <x:v>B</x:v>
      </x:c>
      <x:c r="D22" s="35" t="n">
        <x:v>3</x:v>
      </x:c>
      <x:c r="E22" s="28" t="str">
        <x:v>Đỗ Hữu Vượng</x:v>
      </x:c>
      <x:c r="F22" s="28" t="str"/>
      <x:c r="G22" s="28" t="str"/>
      <x:c r="H22" s="28" t="str"/>
      <x:c r="I22" s="28" t="str"/>
      <x:c r="J22" s="28" t="str">
        <x:v>POS</x:v>
      </x:c>
      <x:c r="K22" s="28" t="str"/>
      <x:c r="L22" s="33" t="n">
        <x:v>2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ID",IF(COUNTIF($A$8:$A$67,A22)&gt;1,"TRÙNG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CL-DON-NU45-A-01</x:v>
      </x:c>
      <x:c r="B23" s="26" t="str">
        <x:v>CL-DON-NU45</x:v>
      </x:c>
      <x:c r="C23" s="26" t="str">
        <x:v>A</x:v>
      </x:c>
      <x:c r="D23" s="35" t="n">
        <x:v>1</x:v>
      </x:c>
      <x:c r="E23" s="28" t="str">
        <x:v>Phạm Thị Kiều Anh</x:v>
      </x:c>
      <x:c r="F23" s="28" t="str"/>
      <x:c r="G23" s="28" t="str"/>
      <x:c r="H23" s="28" t="str"/>
      <x:c r="I23" s="28" t="str"/>
      <x:c r="J23" s="28" t="str">
        <x:v>PTSC M&amp;C</x:v>
      </x:c>
      <x:c r="K23" s="28" t="str"/>
      <x:c r="L23" s="33" t="n">
        <x:v>3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ID",IF(COUNTIF($A$8:$A$67,A23)&gt;1,"TRÙNG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CL-DON-NU45-A-02</x:v>
      </x:c>
      <x:c r="B24" s="26" t="str">
        <x:v>CL-DON-NU45</x:v>
      </x:c>
      <x:c r="C24" s="26" t="str">
        <x:v>A</x:v>
      </x:c>
      <x:c r="D24" s="35" t="n">
        <x:v>2</x:v>
      </x:c>
      <x:c r="E24" s="28" t="str">
        <x:v>Trần Thị Hương</x:v>
      </x:c>
      <x:c r="F24" s="28" t="str"/>
      <x:c r="G24" s="28" t="str"/>
      <x:c r="H24" s="28" t="str"/>
      <x:c r="I24" s="28" t="str"/>
      <x:c r="J24" s="28" t="str">
        <x:v>PTSC Thanh Hóa</x:v>
      </x:c>
      <x:c r="K24" s="28" t="str"/>
      <x:c r="L24" s="33" t="n">
        <x:v>3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ID",IF(COUNTIF($A$8:$A$67,A24)&gt;1,"TRÙNG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CL-DON-NU45-A-03</x:v>
      </x:c>
      <x:c r="B25" s="26" t="str">
        <x:v>CL-DON-NU45</x:v>
      </x:c>
      <x:c r="C25" s="26" t="str">
        <x:v>A</x:v>
      </x:c>
      <x:c r="D25" s="35" t="n">
        <x:v>3</x:v>
      </x:c>
      <x:c r="E25" s="28" t="str">
        <x:v>Nguyễn Thị Huyền Trang</x:v>
      </x:c>
      <x:c r="F25" s="28" t="str"/>
      <x:c r="G25" s="28" t="str"/>
      <x:c r="H25" s="28" t="str"/>
      <x:c r="I25" s="28" t="str"/>
      <x:c r="J25" s="28" t="str">
        <x:v>PTSC Đình Vũ</x:v>
      </x:c>
      <x:c r="K25" s="28" t="str"/>
      <x:c r="L25" s="33" t="n">
        <x:v>3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ID",IF(COUNTIF($A$8:$A$67,A25)&gt;1,"TRÙNG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CL-DON-NU45-A-04</x:v>
      </x:c>
      <x:c r="B26" s="26" t="str">
        <x:v>CL-DON-NU45</x:v>
      </x:c>
      <x:c r="C26" s="26" t="str">
        <x:v>A</x:v>
      </x:c>
      <x:c r="D26" s="35" t="n">
        <x:v>4</x:v>
      </x:c>
      <x:c r="E26" s="28" t="str">
        <x:v>Nguyễn Thị Liên</x:v>
      </x:c>
      <x:c r="F26" s="28" t="str"/>
      <x:c r="G26" s="28" t="str"/>
      <x:c r="H26" s="28" t="str"/>
      <x:c r="I26" s="28" t="str"/>
      <x:c r="J26" s="28" t="str">
        <x:v>PTSC M&amp;C</x:v>
      </x:c>
      <x:c r="K26" s="28" t="str"/>
      <x:c r="L26" s="33" t="n">
        <x:v>3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ID",IF(COUNTIF($A$8:$A$67,A26)&gt;1,"TRÙNG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CL-DOI-NAM45-A-01</x:v>
      </x:c>
      <x:c r="B27" s="26" t="str">
        <x:v>CL-DOI-NAM45</x:v>
      </x:c>
      <x:c r="C27" s="26" t="str">
        <x:v>A</x:v>
      </x:c>
      <x:c r="D27" s="35" t="n">
        <x:v>1</x:v>
      </x:c>
      <x:c r="E27" s="28" t="str">
        <x:v>Đào Văn Khởi</x:v>
      </x:c>
      <x:c r="F27" s="28" t="str">
        <x:v>Nguyễn Văn Giáp</x:v>
      </x:c>
      <x:c r="G27" s="28" t="str"/>
      <x:c r="H27" s="28" t="str"/>
      <x:c r="I27" s="28" t="str"/>
      <x:c r="J27" s="28" t="str">
        <x:v>PVSHIPYARD</x:v>
      </x:c>
      <x:c r="K27" s="28" t="str"/>
      <x:c r="L27" s="33" t="n">
        <x:v>4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ID",IF(COUNTIF($A$8:$A$67,A27)&gt;1,"TRÙNG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CL-DOI-NAM45-A-02</x:v>
      </x:c>
      <x:c r="B28" s="26" t="str">
        <x:v>CL-DOI-NAM45</x:v>
      </x:c>
      <x:c r="C28" s="26" t="str">
        <x:v>A</x:v>
      </x:c>
      <x:c r="D28" s="35" t="n">
        <x:v>2</x:v>
      </x:c>
      <x:c r="E28" s="28" t="str">
        <x:v>Phan Văn Đông</x:v>
      </x:c>
      <x:c r="F28" s="28" t="str">
        <x:v>Phạm Phước Lộc</x:v>
      </x:c>
      <x:c r="G28" s="28" t="str"/>
      <x:c r="H28" s="28" t="str"/>
      <x:c r="I28" s="28" t="str"/>
      <x:c r="J28" s="28" t="str">
        <x:v>KSDK</x:v>
      </x:c>
      <x:c r="K28" s="28" t="str"/>
      <x:c r="L28" s="33" t="n">
        <x:v>4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ID",IF(COUNTIF($A$8:$A$67,A28)&gt;1,"TRÙNG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CL-DOI-NAM45-A-03</x:v>
      </x:c>
      <x:c r="B29" s="26" t="str">
        <x:v>CL-DOI-NAM45</x:v>
      </x:c>
      <x:c r="C29" s="26" t="str">
        <x:v>A</x:v>
      </x:c>
      <x:c r="D29" s="35" t="n">
        <x:v>3</x:v>
      </x:c>
      <x:c r="E29" s="28" t="str">
        <x:v>Hoàng Minh Trí</x:v>
      </x:c>
      <x:c r="F29" s="28" t="str">
        <x:v>Đinh Trọng Đoàn</x:v>
      </x:c>
      <x:c r="G29" s="28" t="str"/>
      <x:c r="H29" s="28" t="str"/>
      <x:c r="I29" s="28" t="str"/>
      <x:c r="J29" s="28" t="str">
        <x:v>PTSC M&amp;C</x:v>
      </x:c>
      <x:c r="K29" s="28" t="str"/>
      <x:c r="L29" s="33" t="n">
        <x:v>4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ID",IF(COUNTIF($A$8:$A$67,A29)&gt;1,"TRÙNG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CL-DOI-NAM45-B-01</x:v>
      </x:c>
      <x:c r="B30" s="26" t="str">
        <x:v>CL-DOI-NAM45</x:v>
      </x:c>
      <x:c r="C30" s="26" t="str">
        <x:v>B</x:v>
      </x:c>
      <x:c r="D30" s="35" t="n">
        <x:v>1</x:v>
      </x:c>
      <x:c r="E30" s="28" t="str">
        <x:v>Đỗ Nhật Linh</x:v>
      </x:c>
      <x:c r="F30" s="28" t="str">
        <x:v>Nguyễn Thế Anh</x:v>
      </x:c>
      <x:c r="G30" s="28" t="str"/>
      <x:c r="H30" s="28" t="str"/>
      <x:c r="I30" s="28" t="str"/>
      <x:c r="J30" s="28" t="str">
        <x:v>PVSecurity</x:v>
      </x:c>
      <x:c r="K30" s="28" t="str"/>
      <x:c r="L30" s="33" t="n">
        <x:v>4</x:v>
      </x:c>
      <x:c r="M30" s="33" t="str">
        <x:f>IF(E30="","CHỜ NHẬP","ĐÃ CÓ DỮ LIỆU")</x:f>
        <x:v>ĐÃ CÓ DỮ LIỆU</x:v>
      </x:c>
      <x:c r="N30" s="33" t="str">
        <x:f>IF(AND(B30="",E30=""),"",IF(A30="","THIẾU ID",IF(COUNTIF($A$8:$A$67,A30)&gt;1,"TRÙNG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CL-DOI-NAM45-B-02</x:v>
      </x:c>
      <x:c r="B31" s="26" t="str">
        <x:v>CL-DOI-NAM45</x:v>
      </x:c>
      <x:c r="C31" s="26" t="str">
        <x:v>B</x:v>
      </x:c>
      <x:c r="D31" s="35" t="n">
        <x:v>2</x:v>
      </x:c>
      <x:c r="E31" s="28" t="str">
        <x:v>Nguyễn Tiến Lực</x:v>
      </x:c>
      <x:c r="F31" s="28" t="str">
        <x:v>Nguyễn Tiến Dương</x:v>
      </x:c>
      <x:c r="G31" s="28" t="str"/>
      <x:c r="H31" s="28" t="str"/>
      <x:c r="I31" s="28" t="str"/>
      <x:c r="J31" s="28" t="str">
        <x:v>PTSC Supply Base</x:v>
      </x:c>
      <x:c r="K31" s="28" t="str"/>
      <x:c r="L31" s="33" t="n">
        <x:v>4</x:v>
      </x:c>
      <x:c r="M31" s="33" t="str">
        <x:f>IF(E31="","CHỜ NHẬP","ĐÃ CÓ DỮ LIỆU")</x:f>
        <x:v>ĐÃ CÓ DỮ LIỆU</x:v>
      </x:c>
      <x:c r="N31" s="33" t="str">
        <x:f>IF(AND(B31="",E31=""),"",IF(A31="","THIẾU ID",IF(COUNTIF($A$8:$A$67,A31)&gt;1,"TRÙNG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CL-DOI-NAM45-B-03</x:v>
      </x:c>
      <x:c r="B32" s="26" t="str">
        <x:v>CL-DOI-NAM45</x:v>
      </x:c>
      <x:c r="C32" s="26" t="str">
        <x:v>B</x:v>
      </x:c>
      <x:c r="D32" s="35" t="n">
        <x:v>3</x:v>
      </x:c>
      <x:c r="E32" s="28" t="str">
        <x:v>Ngô Minh Trường</x:v>
      </x:c>
      <x:c r="F32" s="28" t="str">
        <x:v>Đàm Đức Toàn</x:v>
      </x:c>
      <x:c r="G32" s="28" t="str"/>
      <x:c r="H32" s="28" t="str"/>
      <x:c r="I32" s="28" t="str"/>
      <x:c r="J32" s="28" t="str">
        <x:v>PTSC G&amp;S</x:v>
      </x:c>
      <x:c r="K32" s="28" t="str"/>
      <x:c r="L32" s="33" t="n">
        <x:v>4</x:v>
      </x:c>
      <x:c r="M32" s="33" t="str">
        <x:f>IF(E32="","CHỜ NHẬP","ĐÃ CÓ DỮ LIỆU")</x:f>
        <x:v>ĐÃ CÓ DỮ LIỆU</x:v>
      </x:c>
      <x:c r="N32" s="33" t="str">
        <x:f>IF(AND(B32="",E32=""),"",IF(A32="","THIẾU ID",IF(COUNTIF($A$8:$A$67,A32)&gt;1,"TRÙNG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CL-DOI-NAM45-C-01</x:v>
      </x:c>
      <x:c r="B33" s="26" t="str">
        <x:v>CL-DOI-NAM45</x:v>
      </x:c>
      <x:c r="C33" s="26" t="str">
        <x:v>C</x:v>
      </x:c>
      <x:c r="D33" s="35" t="n">
        <x:v>1</x:v>
      </x:c>
      <x:c r="E33" s="28" t="str">
        <x:v>Nguyễn Hữu Khánh</x:v>
      </x:c>
      <x:c r="F33" s="28" t="str">
        <x:v>Vũ Văn Thành</x:v>
      </x:c>
      <x:c r="G33" s="28" t="str"/>
      <x:c r="H33" s="28" t="str"/>
      <x:c r="I33" s="28" t="str"/>
      <x:c r="J33" s="28" t="str">
        <x:v>PTSC Thanh Hóa</x:v>
      </x:c>
      <x:c r="K33" s="28" t="str"/>
      <x:c r="L33" s="33" t="n">
        <x:v>5</x:v>
      </x:c>
      <x:c r="M33" s="33" t="str">
        <x:f>IF(E33="","CHỜ NHẬP","ĐÃ CÓ DỮ LIỆU")</x:f>
        <x:v>ĐÃ CÓ DỮ LIỆU</x:v>
      </x:c>
      <x:c r="N33" s="33" t="str">
        <x:f>IF(AND(B33="",E33=""),"",IF(A33="","THIẾU ID",IF(COUNTIF($A$8:$A$67,A33)&gt;1,"TRÙNG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CL-DOI-NAM45-C-02</x:v>
      </x:c>
      <x:c r="B34" s="26" t="str">
        <x:v>CL-DOI-NAM45</x:v>
      </x:c>
      <x:c r="C34" s="26" t="str">
        <x:v>C</x:v>
      </x:c>
      <x:c r="D34" s="35" t="n">
        <x:v>2</x:v>
      </x:c>
      <x:c r="E34" s="28" t="str">
        <x:v>Nguyễn Thành Anh Duy</x:v>
      </x:c>
      <x:c r="F34" s="28" t="str">
        <x:v>Nguyễn Huỳnh Hưng Thịnh</x:v>
      </x:c>
      <x:c r="G34" s="28" t="str"/>
      <x:c r="H34" s="28" t="str"/>
      <x:c r="I34" s="28" t="str"/>
      <x:c r="J34" s="28" t="str">
        <x:v>PTSC M&amp;C</x:v>
      </x:c>
      <x:c r="K34" s="28" t="str"/>
      <x:c r="L34" s="33" t="n">
        <x:v>5</x:v>
      </x:c>
      <x:c r="M34" s="33" t="str">
        <x:f>IF(E34="","CHỜ NHẬP","ĐÃ CÓ DỮ LIỆU")</x:f>
        <x:v>ĐÃ CÓ DỮ LIỆU</x:v>
      </x:c>
      <x:c r="N34" s="33" t="str">
        <x:f>IF(AND(B34="",E34=""),"",IF(A34="","THIẾU ID",IF(COUNTIF($A$8:$A$67,A34)&gt;1,"TRÙNG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CL-DOI-NAM45-C-03</x:v>
      </x:c>
      <x:c r="B35" s="26" t="str">
        <x:v>CL-DOI-NAM45</x:v>
      </x:c>
      <x:c r="C35" s="26" t="str">
        <x:v>C</x:v>
      </x:c>
      <x:c r="D35" s="35" t="n">
        <x:v>3</x:v>
      </x:c>
      <x:c r="E35" s="28" t="str">
        <x:v>Vũ Hải Nam</x:v>
      </x:c>
      <x:c r="F35" s="28" t="str">
        <x:v>Lê Ngọc Hưng</x:v>
      </x:c>
      <x:c r="G35" s="28" t="str"/>
      <x:c r="H35" s="28" t="str"/>
      <x:c r="I35" s="28" t="str"/>
      <x:c r="J35" s="28" t="str">
        <x:v>PTSC HQ</x:v>
      </x:c>
      <x:c r="K35" s="28" t="str"/>
      <x:c r="L35" s="33" t="n">
        <x:v>5</x:v>
      </x:c>
      <x:c r="M35" s="33" t="str">
        <x:f>IF(E35="","CHỜ NHẬP","ĐÃ CÓ DỮ LIỆU")</x:f>
        <x:v>ĐÃ CÓ DỮ LIỆU</x:v>
      </x:c>
      <x:c r="N35" s="33" t="str">
        <x:f>IF(AND(B35="",E35=""),"",IF(A35="","THIẾU ID",IF(COUNTIF($A$8:$A$67,A35)&gt;1,"TRÙNG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  <x:v>CL-DOI-NAM45-C-04</x:v>
      </x:c>
      <x:c r="B36" s="26" t="str">
        <x:v>CL-DOI-NAM45</x:v>
      </x:c>
      <x:c r="C36" s="26" t="str">
        <x:v>C</x:v>
      </x:c>
      <x:c r="D36" s="35" t="n">
        <x:v>4</x:v>
      </x:c>
      <x:c r="E36" s="28" t="str">
        <x:v>Vũ Tuấn Minh</x:v>
      </x:c>
      <x:c r="F36" s="28" t="str">
        <x:v>Lã Minh Hiển</x:v>
      </x:c>
      <x:c r="G36" s="28" t="str"/>
      <x:c r="H36" s="28" t="str"/>
      <x:c r="I36" s="28" t="str"/>
      <x:c r="J36" s="28" t="str">
        <x:v>POS</x:v>
      </x:c>
      <x:c r="K36" s="28" t="str"/>
      <x:c r="L36" s="33" t="n">
        <x:v>5</x:v>
      </x:c>
      <x:c r="M36" s="33" t="str">
        <x:f>IF(E36="","CHỜ NHẬP","ĐÃ CÓ DỮ LIỆU")</x:f>
        <x:v>ĐÃ CÓ DỮ LIỆU</x:v>
      </x:c>
      <x:c r="N36" s="33" t="str">
        <x:f>IF(AND(B36="",E36=""),"",IF(A36="","THIẾU ID",IF(COUNTIF($A$8:$A$67,A36)&gt;1,"TRÙNG ID",IF(COUNTIF(HANG_MUC!$A$6:$A$50,B36)=0,"SAI HẠNG MỤC","OK"))))</x:f>
        <x:v>OK</x:v>
      </x:c>
    </x:row>
    <x:row r="37">
      <x:c r="A37" s="33" t="str">
        <x:f>IF(OR(B37="",D37=""),"",B37&amp;"-"&amp;IF(OR(C37="",C37="-"),"X",UPPER(C37))&amp;"-"&amp;TEXT(D37,"00"))</x:f>
        <x:v>CL-DOI-NAM46-A-01</x:v>
      </x:c>
      <x:c r="B37" s="26" t="str">
        <x:v>CL-DOI-NAM46</x:v>
      </x:c>
      <x:c r="C37" s="26" t="str">
        <x:v>A</x:v>
      </x:c>
      <x:c r="D37" s="35" t="n">
        <x:v>1</x:v>
      </x:c>
      <x:c r="E37" s="28" t="str">
        <x:v>Đỗ Đức Đồng</x:v>
      </x:c>
      <x:c r="F37" s="28" t="str">
        <x:v>Nguyễn Hùng Thịnh</x:v>
      </x:c>
      <x:c r="G37" s="28" t="str"/>
      <x:c r="H37" s="28" t="str"/>
      <x:c r="I37" s="28" t="str"/>
      <x:c r="J37" s="28" t="str">
        <x:v>PTSC M&amp;C</x:v>
      </x:c>
      <x:c r="K37" s="28" t="str"/>
      <x:c r="L37" s="33" t="n">
        <x:v>6</x:v>
      </x:c>
      <x:c r="M37" s="33" t="str">
        <x:f>IF(E37="","CHỜ NHẬP","ĐÃ CÓ DỮ LIỆU")</x:f>
        <x:v>ĐÃ CÓ DỮ LIỆU</x:v>
      </x:c>
      <x:c r="N37" s="33" t="str">
        <x:f>IF(AND(B37="",E37=""),"",IF(A37="","THIẾU ID",IF(COUNTIF($A$8:$A$67,A37)&gt;1,"TRÙNG ID",IF(COUNTIF(HANG_MUC!$A$6:$A$50,B37)=0,"SAI HẠNG MỤC","OK"))))</x:f>
        <x:v>OK</x:v>
      </x:c>
    </x:row>
    <x:row r="38">
      <x:c r="A38" s="33" t="str">
        <x:f>IF(OR(B38="",D38=""),"",B38&amp;"-"&amp;IF(OR(C38="",C38="-"),"X",UPPER(C38))&amp;"-"&amp;TEXT(D38,"00"))</x:f>
        <x:v>CL-DOI-NAM46-A-02</x:v>
      </x:c>
      <x:c r="B38" s="26" t="str">
        <x:v>CL-DOI-NAM46</x:v>
      </x:c>
      <x:c r="C38" s="26" t="str">
        <x:v>A</x:v>
      </x:c>
      <x:c r="D38" s="35" t="n">
        <x:v>2</x:v>
      </x:c>
      <x:c r="E38" s="28" t="str">
        <x:v>Phạm Thanh Hiển</x:v>
      </x:c>
      <x:c r="F38" s="28" t="str">
        <x:v>Nguyễn Hoàng Diệu</x:v>
      </x:c>
      <x:c r="G38" s="28" t="str"/>
      <x:c r="H38" s="28" t="str"/>
      <x:c r="I38" s="28" t="str"/>
      <x:c r="J38" s="28" t="str">
        <x:v>PTSC M&amp;C</x:v>
      </x:c>
      <x:c r="K38" s="28" t="str"/>
      <x:c r="L38" s="33" t="n">
        <x:v>6</x:v>
      </x:c>
      <x:c r="M38" s="33" t="str">
        <x:f>IF(E38="","CHỜ NHẬP","ĐÃ CÓ DỮ LIỆU")</x:f>
        <x:v>ĐÃ CÓ DỮ LIỆU</x:v>
      </x:c>
      <x:c r="N38" s="33" t="str">
        <x:f>IF(AND(B38="",E38=""),"",IF(A38="","THIẾU ID",IF(COUNTIF($A$8:$A$67,A38)&gt;1,"TRÙNG ID",IF(COUNTIF(HANG_MUC!$A$6:$A$50,B38)=0,"SAI HẠNG MỤC","OK"))))</x:f>
        <x:v>OK</x:v>
      </x:c>
    </x:row>
    <x:row r="39">
      <x:c r="A39" s="33" t="str">
        <x:f>IF(OR(B39="",D39=""),"",B39&amp;"-"&amp;IF(OR(C39="",C39="-"),"X",UPPER(C39))&amp;"-"&amp;TEXT(D39,"00"))</x:f>
        <x:v>CL-DOI-NAM46-A-03</x:v>
      </x:c>
      <x:c r="B39" s="26" t="str">
        <x:v>CL-DOI-NAM46</x:v>
      </x:c>
      <x:c r="C39" s="26" t="str">
        <x:v>A</x:v>
      </x:c>
      <x:c r="D39" s="35" t="n">
        <x:v>3</x:v>
      </x:c>
      <x:c r="E39" s="28" t="str">
        <x:v>Nguyễn Trung Hải</x:v>
      </x:c>
      <x:c r="F39" s="28" t="str">
        <x:v>Nguyễn Hồng Khê</x:v>
      </x:c>
      <x:c r="G39" s="28" t="str"/>
      <x:c r="H39" s="28" t="str"/>
      <x:c r="I39" s="28" t="str"/>
      <x:c r="J39" s="28" t="str">
        <x:v>PTSC Supply Base</x:v>
      </x:c>
      <x:c r="K39" s="28" t="str"/>
      <x:c r="L39" s="33" t="n">
        <x:v>6</x:v>
      </x:c>
      <x:c r="M39" s="33" t="str">
        <x:f>IF(E39="","CHỜ NHẬP","ĐÃ CÓ DỮ LIỆU")</x:f>
        <x:v>ĐÃ CÓ DỮ LIỆU</x:v>
      </x:c>
      <x:c r="N39" s="33" t="str">
        <x:f>IF(AND(B39="",E39=""),"",IF(A39="","THIẾU ID",IF(COUNTIF($A$8:$A$67,A39)&gt;1,"TRÙNG ID",IF(COUNTIF(HANG_MUC!$A$6:$A$50,B39)=0,"SAI HẠNG MỤC","OK"))))</x:f>
        <x:v>OK</x:v>
      </x:c>
    </x:row>
    <x:row r="40">
      <x:c r="A40" s="33" t="str">
        <x:f>IF(OR(B40="",D40=""),"",B40&amp;"-"&amp;IF(OR(C40="",C40="-"),"X",UPPER(C40))&amp;"-"&amp;TEXT(D40,"00"))</x:f>
        <x:v>CL-DOI-NU45-A-01</x:v>
      </x:c>
      <x:c r="B40" s="26" t="str">
        <x:v>CL-DOI-NU45</x:v>
      </x:c>
      <x:c r="C40" s="26" t="str">
        <x:v>A</x:v>
      </x:c>
      <x:c r="D40" s="35" t="n">
        <x:v>1</x:v>
      </x:c>
      <x:c r="E40" s="28" t="str">
        <x:v>Phạm Thị Kiều Anh</x:v>
      </x:c>
      <x:c r="F40" s="28" t="str">
        <x:v>Nguyễn Thị Như Hải</x:v>
      </x:c>
      <x:c r="G40" s="28" t="str"/>
      <x:c r="H40" s="28" t="str"/>
      <x:c r="I40" s="28" t="str"/>
      <x:c r="J40" s="28" t="str">
        <x:v>PTSC M&amp;C</x:v>
      </x:c>
      <x:c r="K40" s="28" t="str"/>
      <x:c r="L40" s="33" t="n">
        <x:v>7</x:v>
      </x:c>
      <x:c r="M40" s="33" t="str">
        <x:f>IF(E40="","CHỜ NHẬP","ĐÃ CÓ DỮ LIỆU")</x:f>
        <x:v>ĐÃ CÓ DỮ LIỆU</x:v>
      </x:c>
      <x:c r="N40" s="33" t="str">
        <x:f>IF(AND(B40="",E40=""),"",IF(A40="","THIẾU ID",IF(COUNTIF($A$8:$A$67,A40)&gt;1,"TRÙNG ID",IF(COUNTIF(HANG_MUC!$A$6:$A$50,B40)=0,"SAI HẠNG MỤC","OK"))))</x:f>
        <x:v>OK</x:v>
      </x:c>
    </x:row>
    <x:row r="41">
      <x:c r="A41" s="33" t="str">
        <x:f>IF(OR(B41="",D41=""),"",B41&amp;"-"&amp;IF(OR(C41="",C41="-"),"X",UPPER(C41))&amp;"-"&amp;TEXT(D41,"00"))</x:f>
        <x:v>CL-DOI-NU45-A-02</x:v>
      </x:c>
      <x:c r="B41" s="26" t="str">
        <x:v>CL-DOI-NU45</x:v>
      </x:c>
      <x:c r="C41" s="26" t="str">
        <x:v>A</x:v>
      </x:c>
      <x:c r="D41" s="35" t="n">
        <x:v>2</x:v>
      </x:c>
      <x:c r="E41" s="28" t="str">
        <x:v>Đinh Thị Hà Phương</x:v>
      </x:c>
      <x:c r="F41" s="28" t="str">
        <x:v>Diệp Huỳnh Thúy Nga</x:v>
      </x:c>
      <x:c r="G41" s="28" t="str"/>
      <x:c r="H41" s="28" t="str"/>
      <x:c r="I41" s="28" t="str"/>
      <x:c r="J41" s="28" t="str">
        <x:v>PPS</x:v>
      </x:c>
      <x:c r="K41" s="28" t="str"/>
      <x:c r="L41" s="33" t="n">
        <x:v>7</x:v>
      </x:c>
      <x:c r="M41" s="33" t="str">
        <x:f>IF(E41="","CHỜ NHẬP","ĐÃ CÓ DỮ LIỆU")</x:f>
        <x:v>ĐÃ CÓ DỮ LIỆU</x:v>
      </x:c>
      <x:c r="N41" s="33" t="str">
        <x:f>IF(AND(B41="",E41=""),"",IF(A41="","THIẾU ID",IF(COUNTIF($A$8:$A$67,A41)&gt;1,"TRÙNG ID",IF(COUNTIF(HANG_MUC!$A$6:$A$50,B41)=0,"SAI HẠNG MỤC","OK"))))</x:f>
        <x:v>OK</x:v>
      </x:c>
    </x:row>
    <x:row r="42">
      <x:c r="A42" s="33" t="str">
        <x:f>IF(OR(B42="",D42=""),"",B42&amp;"-"&amp;IF(OR(C42="",C42="-"),"X",UPPER(C42))&amp;"-"&amp;TEXT(D42,"00"))</x:f>
        <x:v>CL-DOI-NU45-A-03</x:v>
      </x:c>
      <x:c r="B42" s="26" t="str">
        <x:v>CL-DOI-NU45</x:v>
      </x:c>
      <x:c r="C42" s="26" t="str">
        <x:v>A</x:v>
      </x:c>
      <x:c r="D42" s="35" t="n">
        <x:v>3</x:v>
      </x:c>
      <x:c r="E42" s="28" t="str">
        <x:v>Đoàn Ngọc Quỳnh Tiên</x:v>
      </x:c>
      <x:c r="F42" s="28" t="str">
        <x:v>Đỗ Phương Thùy</x:v>
      </x:c>
      <x:c r="G42" s="28" t="str"/>
      <x:c r="H42" s="28" t="str"/>
      <x:c r="I42" s="28" t="str"/>
      <x:c r="J42" s="28" t="str">
        <x:v>POS</x:v>
      </x:c>
      <x:c r="K42" s="28" t="str"/>
      <x:c r="L42" s="33" t="n">
        <x:v>7</x:v>
      </x:c>
      <x:c r="M42" s="33" t="str">
        <x:f>IF(E42="","CHỜ NHẬP","ĐÃ CÓ DỮ LIỆU")</x:f>
        <x:v>ĐÃ CÓ DỮ LIỆU</x:v>
      </x:c>
      <x:c r="N42" s="33" t="str">
        <x:f>IF(AND(B42="",E42=""),"",IF(A42="","THIẾU ID",IF(COUNTIF($A$8:$A$67,A42)&gt;1,"TRÙNG ID",IF(COUNTIF(HANG_MUC!$A$6:$A$50,B42)=0,"SAI HẠNG MỤC","OK"))))</x:f>
        <x:v>OK</x:v>
      </x:c>
    </x:row>
    <x:row r="43">
      <x:c r="A43" s="33" t="str">
        <x:f>IF(OR(B43="",D43=""),"",B43&amp;"-"&amp;IF(OR(C43="",C43="-"),"X",UPPER(C43))&amp;"-"&amp;TEXT(D43,"00"))</x:f>
        <x:v>CL-DOI-NU45-A-04</x:v>
      </x:c>
      <x:c r="B43" s="26" t="str">
        <x:v>CL-DOI-NU45</x:v>
      </x:c>
      <x:c r="C43" s="26" t="str">
        <x:v>A</x:v>
      </x:c>
      <x:c r="D43" s="35" t="n">
        <x:v>4</x:v>
      </x:c>
      <x:c r="E43" s="28" t="str">
        <x:v>Đỗ Anh Tú</x:v>
      </x:c>
      <x:c r="F43" s="28" t="str">
        <x:v>Trần Thị Chi</x:v>
      </x:c>
      <x:c r="G43" s="28" t="str"/>
      <x:c r="H43" s="28" t="str"/>
      <x:c r="I43" s="28" t="str"/>
      <x:c r="J43" s="28" t="str">
        <x:v>KSDK</x:v>
      </x:c>
      <x:c r="K43" s="28" t="str"/>
      <x:c r="L43" s="33" t="n">
        <x:v>7</x:v>
      </x:c>
      <x:c r="M43" s="33" t="str">
        <x:f>IF(E43="","CHỜ NHẬP","ĐÃ CÓ DỮ LIỆU")</x:f>
        <x:v>ĐÃ CÓ DỮ LIỆU</x:v>
      </x:c>
      <x:c r="N43" s="33" t="str">
        <x:f>IF(AND(B43="",E43=""),"",IF(A43="","THIẾU ID",IF(COUNTIF($A$8:$A$67,A43)&gt;1,"TRÙNG ID",IF(COUNTIF(HANG_MUC!$A$6:$A$50,B43)=0,"SAI HẠNG MỤC","OK"))))</x:f>
        <x:v>OK</x:v>
      </x:c>
    </x:row>
    <x:row r="44">
      <x:c r="A44" s="33" t="str">
        <x:f>IF(OR(B44="",D44=""),"",B44&amp;"-"&amp;IF(OR(C44="",C44="-"),"X",UPPER(C44))&amp;"-"&amp;TEXT(D44,"00"))</x:f>
        <x:v>CL-DOI-NAMNU45-A-01</x:v>
      </x:c>
      <x:c r="B44" s="26" t="str">
        <x:v>CL-DOI-NAMNU45</x:v>
      </x:c>
      <x:c r="C44" s="26" t="str">
        <x:v>A</x:v>
      </x:c>
      <x:c r="D44" s="35" t="n">
        <x:v>1</x:v>
      </x:c>
      <x:c r="E44" s="28" t="str">
        <x:v>Nguyễn Thành Anh Duy</x:v>
      </x:c>
      <x:c r="F44" s="28" t="str">
        <x:v>Nguyễn Thị Như Hải</x:v>
      </x:c>
      <x:c r="G44" s="28" t="str"/>
      <x:c r="H44" s="28" t="str"/>
      <x:c r="I44" s="28" t="str"/>
      <x:c r="J44" s="28" t="str">
        <x:v>PTSC M&amp;C</x:v>
      </x:c>
      <x:c r="K44" s="28" t="str"/>
      <x:c r="L44" s="33" t="n">
        <x:v>8</x:v>
      </x:c>
      <x:c r="M44" s="33" t="str">
        <x:f>IF(E44="","CHỜ NHẬP","ĐÃ CÓ DỮ LIỆU")</x:f>
        <x:v>ĐÃ CÓ DỮ LIỆU</x:v>
      </x:c>
      <x:c r="N44" s="33" t="str">
        <x:f>IF(AND(B44="",E44=""),"",IF(A44="","THIẾU ID",IF(COUNTIF($A$8:$A$67,A44)&gt;1,"TRÙNG ID",IF(COUNTIF(HANG_MUC!$A$6:$A$50,B44)=0,"SAI HẠNG MỤC","OK"))))</x:f>
        <x:v>OK</x:v>
      </x:c>
    </x:row>
    <x:row r="45">
      <x:c r="A45" s="33" t="str">
        <x:f>IF(OR(B45="",D45=""),"",B45&amp;"-"&amp;IF(OR(C45="",C45="-"),"X",UPPER(C45))&amp;"-"&amp;TEXT(D45,"00"))</x:f>
        <x:v>CL-DOI-NAMNU45-A-02</x:v>
      </x:c>
      <x:c r="B45" s="26" t="str">
        <x:v>CL-DOI-NAMNU45</x:v>
      </x:c>
      <x:c r="C45" s="26" t="str">
        <x:v>A</x:v>
      </x:c>
      <x:c r="D45" s="35" t="n">
        <x:v>2</x:v>
      </x:c>
      <x:c r="E45" s="28" t="str">
        <x:v>Trần Thị Hương</x:v>
      </x:c>
      <x:c r="F45" s="28" t="str">
        <x:v>Đỗ Thành Đạt</x:v>
      </x:c>
      <x:c r="G45" s="28" t="str"/>
      <x:c r="H45" s="28" t="str"/>
      <x:c r="I45" s="28" t="str"/>
      <x:c r="J45" s="28" t="str">
        <x:v>PTSC Thanh Hóa</x:v>
      </x:c>
      <x:c r="K45" s="28" t="str"/>
      <x:c r="L45" s="33" t="n">
        <x:v>8</x:v>
      </x:c>
      <x:c r="M45" s="33" t="str">
        <x:f>IF(E45="","CHỜ NHẬP","ĐÃ CÓ DỮ LIỆU")</x:f>
        <x:v>ĐÃ CÓ DỮ LIỆU</x:v>
      </x:c>
      <x:c r="N45" s="33" t="str">
        <x:f>IF(AND(B45="",E45=""),"",IF(A45="","THIẾU ID",IF(COUNTIF($A$8:$A$67,A45)&gt;1,"TRÙNG ID",IF(COUNTIF(HANG_MUC!$A$6:$A$50,B45)=0,"SAI HẠNG MỤC","OK"))))</x:f>
        <x:v>OK</x:v>
      </x:c>
    </x:row>
    <x:row r="46">
      <x:c r="A46" s="33" t="str">
        <x:f>IF(OR(B46="",D46=""),"",B46&amp;"-"&amp;IF(OR(C46="",C46="-"),"X",UPPER(C46))&amp;"-"&amp;TEXT(D46,"00"))</x:f>
        <x:v>CL-DOI-NAMNU45-A-03</x:v>
      </x:c>
      <x:c r="B46" s="26" t="str">
        <x:v>CL-DOI-NAMNU45</x:v>
      </x:c>
      <x:c r="C46" s="26" t="str">
        <x:v>A</x:v>
      </x:c>
      <x:c r="D46" s="35" t="n">
        <x:v>3</x:v>
      </x:c>
      <x:c r="E46" s="28" t="str">
        <x:v>Nguyễn Quốc Hiếu</x:v>
      </x:c>
      <x:c r="F46" s="28" t="str">
        <x:v>Lê Hoài Anh</x:v>
      </x:c>
      <x:c r="G46" s="28" t="str"/>
      <x:c r="H46" s="28" t="str"/>
      <x:c r="I46" s="28" t="str"/>
      <x:c r="J46" s="28" t="str">
        <x:v>PTSC MARINE</x:v>
      </x:c>
      <x:c r="K46" s="28" t="str"/>
      <x:c r="L46" s="33" t="n">
        <x:v>8</x:v>
      </x:c>
      <x:c r="M46" s="33" t="str">
        <x:f>IF(E46="","CHỜ NHẬP","ĐÃ CÓ DỮ LIỆU")</x:f>
        <x:v>ĐÃ CÓ DỮ LIỆU</x:v>
      </x:c>
      <x:c r="N46" s="33" t="str">
        <x:f>IF(AND(B46="",E46=""),"",IF(A46="","THIẾU ID",IF(COUNTIF($A$8:$A$67,A46)&gt;1,"TRÙNG ID",IF(COUNTIF(HANG_MUC!$A$6:$A$50,B46)=0,"SAI HẠNG MỤC","OK"))))</x:f>
        <x:v>OK</x:v>
      </x:c>
    </x:row>
    <x:row r="47">
      <x:c r="A47" s="33" t="str">
        <x:f>IF(OR(B47="",D47=""),"",B47&amp;"-"&amp;IF(OR(C47="",C47="-"),"X",UPPER(C47))&amp;"-"&amp;TEXT(D47,"00"))</x:f>
        <x:v>CL-DOI-NAMNU45-A-04</x:v>
      </x:c>
      <x:c r="B47" s="26" t="str">
        <x:v>CL-DOI-NAMNU45</x:v>
      </x:c>
      <x:c r="C47" s="26" t="str">
        <x:v>A</x:v>
      </x:c>
      <x:c r="D47" s="35" t="n">
        <x:v>4</x:v>
      </x:c>
      <x:c r="E47" s="28" t="str">
        <x:v>Đinh Trọng Đoàn</x:v>
      </x:c>
      <x:c r="F47" s="28" t="str">
        <x:v>Nguyễn Thị Liên</x:v>
      </x:c>
      <x:c r="G47" s="28" t="str"/>
      <x:c r="H47" s="28" t="str"/>
      <x:c r="I47" s="28" t="str"/>
      <x:c r="J47" s="28" t="str">
        <x:v>PTSC M&amp;C</x:v>
      </x:c>
      <x:c r="K47" s="28" t="str"/>
      <x:c r="L47" s="33" t="n">
        <x:v>8</x:v>
      </x:c>
      <x:c r="M47" s="33" t="str">
        <x:f>IF(E47="","CHỜ NHẬP","ĐÃ CÓ DỮ LIỆU")</x:f>
        <x:v>ĐÃ CÓ DỮ LIỆU</x:v>
      </x:c>
      <x:c r="N47" s="33" t="str">
        <x:f>IF(AND(B47="",E47=""),"",IF(A47="","THIẾU ID",IF(COUNTIF($A$8:$A$67,A47)&gt;1,"TRÙNG ID",IF(COUNTIF(HANG_MUC!$A$6:$A$50,B47)=0,"SAI HẠNG MỤC","OK"))))</x:f>
        <x:v>OK</x:v>
      </x:c>
    </x:row>
    <x:row r="48">
      <x:c r="A48" s="33" t="str">
        <x:f>IF(OR(B48="",D48=""),"",B48&amp;"-"&amp;IF(OR(C48="",C48="-"),"X",UPPER(C48))&amp;"-"&amp;TEXT(D48,"00"))</x:f>
      </x:c>
      <x:c r="B48" s="26"/>
      <x:c r="C48" s="26"/>
      <x:c r="D48" s="35"/>
      <x:c r="E48" s="28"/>
      <x:c r="F48" s="28"/>
      <x:c r="G48" s="28"/>
      <x:c r="H48" s="28"/>
      <x:c r="I48" s="28"/>
      <x:c r="J48" s="28"/>
      <x:c r="K48" s="28"/>
      <x:c r="L48" s="33"/>
      <x:c r="M48" s="33" t="str">
        <x:f>IF(E48="","CHỜ NHẬP","ĐÃ CÓ DỮ LIỆU")</x:f>
        <x:v>CHỜ NHẬP</x:v>
      </x:c>
      <x:c r="N48" s="33" t="str">
        <x:f>IF(AND(B48="",E48=""),"",IF(A48="","THIẾU ID",IF(COUNTIF($A$8:$A$67,A48)&gt;1,"TRÙNG ID",IF(COUNTIF(HANG_MUC!$A$6:$A$50,B48)=0,"SAI HẠNG MỤC","OK"))))</x:f>
      </x:c>
    </x:row>
    <x:row r="49">
      <x:c r="A49" s="33" t="str">
        <x:f>IF(OR(B49="",D49=""),"",B49&amp;"-"&amp;IF(OR(C49="",C49="-"),"X",UPPER(C49))&amp;"-"&amp;TEXT(D49,"00"))</x:f>
      </x:c>
      <x:c r="B49" s="26"/>
      <x:c r="C49" s="26"/>
      <x:c r="D49" s="35"/>
      <x:c r="E49" s="28"/>
      <x:c r="F49" s="28"/>
      <x:c r="G49" s="28"/>
      <x:c r="H49" s="28"/>
      <x:c r="I49" s="28"/>
      <x:c r="J49" s="28"/>
      <x:c r="K49" s="28"/>
      <x:c r="L49" s="33"/>
      <x:c r="M49" s="33" t="str">
        <x:f>IF(E49="","CHỜ NHẬP","ĐÃ CÓ DỮ LIỆU")</x:f>
        <x:v>CHỜ NHẬP</x:v>
      </x:c>
      <x:c r="N49" s="33" t="str">
        <x:f>IF(AND(B49="",E49=""),"",IF(A49="","THIẾU ID",IF(COUNTIF($A$8:$A$67,A49)&gt;1,"TRÙNG ID",IF(COUNTIF(HANG_MUC!$A$6:$A$50,B49)=0,"SAI HẠNG MỤC","OK"))))</x:f>
      </x:c>
    </x:row>
    <x:row r="50">
      <x:c r="A50" s="33" t="str">
        <x:f>IF(OR(B50="",D50=""),"",B50&amp;"-"&amp;IF(OR(C50="",C50="-"),"X",UPPER(C50))&amp;"-"&amp;TEXT(D50,"00"))</x:f>
      </x:c>
      <x:c r="B50" s="26"/>
      <x:c r="C50" s="26"/>
      <x:c r="D50" s="35"/>
      <x:c r="E50" s="28"/>
      <x:c r="F50" s="28"/>
      <x:c r="G50" s="28"/>
      <x:c r="H50" s="28"/>
      <x:c r="I50" s="28"/>
      <x:c r="J50" s="28"/>
      <x:c r="K50" s="28"/>
      <x:c r="L50" s="33"/>
      <x:c r="M50" s="33" t="str">
        <x:f>IF(E50="","CHỜ NHẬP","ĐÃ CÓ DỮ LIỆU")</x:f>
        <x:v>CHỜ NHẬP</x:v>
      </x:c>
      <x:c r="N50" s="33" t="str">
        <x:f>IF(AND(B50="",E50=""),"",IF(A50="","THIẾU ID",IF(COUNTIF($A$8:$A$67,A50)&gt;1,"TRÙNG ID",IF(COUNTIF(HANG_MUC!$A$6:$A$50,B50)=0,"SAI HẠNG MỤC","OK"))))</x:f>
      </x:c>
    </x:row>
    <x:row r="51">
      <x:c r="A51" s="33" t="str">
        <x:f>IF(OR(B51="",D51=""),"",B51&amp;"-"&amp;IF(OR(C51="",C51="-"),"X",UPPER(C51))&amp;"-"&amp;TEXT(D51,"00"))</x:f>
      </x:c>
      <x:c r="B51" s="26"/>
      <x:c r="C51" s="26"/>
      <x:c r="D51" s="35"/>
      <x:c r="E51" s="28"/>
      <x:c r="F51" s="28"/>
      <x:c r="G51" s="28"/>
      <x:c r="H51" s="28"/>
      <x:c r="I51" s="28"/>
      <x:c r="J51" s="28"/>
      <x:c r="K51" s="28"/>
      <x:c r="L51" s="33"/>
      <x:c r="M51" s="33" t="str">
        <x:f>IF(E51="","CHỜ NHẬP","ĐÃ CÓ DỮ LIỆU")</x:f>
        <x:v>CHỜ NHẬP</x:v>
      </x:c>
      <x:c r="N51" s="33" t="str">
        <x:f>IF(AND(B51="",E51=""),"",IF(A51="","THIẾU ID",IF(COUNTIF($A$8:$A$67,A51)&gt;1,"TRÙNG ID",IF(COUNTIF(HANG_MUC!$A$6:$A$50,B51)=0,"SAI HẠNG MỤC","OK"))))</x:f>
      </x:c>
    </x:row>
    <x:row r="52">
      <x:c r="A52" s="33" t="str">
        <x:f>IF(OR(B52="",D52=""),"",B52&amp;"-"&amp;IF(OR(C52="",C52="-"),"X",UPPER(C52))&amp;"-"&amp;TEXT(D52,"00"))</x:f>
      </x:c>
      <x:c r="B52" s="26"/>
      <x:c r="C52" s="26"/>
      <x:c r="D52" s="35"/>
      <x:c r="E52" s="28"/>
      <x:c r="F52" s="28"/>
      <x:c r="G52" s="28"/>
      <x:c r="H52" s="28"/>
      <x:c r="I52" s="28"/>
      <x:c r="J52" s="28"/>
      <x:c r="K52" s="28"/>
      <x:c r="L52" s="33"/>
      <x:c r="M52" s="33" t="str">
        <x:f>IF(E52="","CHỜ NHẬP","ĐÃ CÓ DỮ LIỆU")</x:f>
        <x:v>CHỜ NHẬP</x:v>
      </x:c>
      <x:c r="N52" s="33" t="str">
        <x:f>IF(AND(B52="",E52=""),"",IF(A52="","THIẾU ID",IF(COUNTIF($A$8:$A$67,A52)&gt;1,"TRÙNG ID",IF(COUNTIF(HANG_MUC!$A$6:$A$50,B52)=0,"SAI HẠNG MỤC","OK"))))</x:f>
      </x:c>
    </x:row>
    <x:row r="53">
      <x:c r="A53" s="33" t="str">
        <x:f>IF(OR(B53="",D53=""),"",B53&amp;"-"&amp;IF(OR(C53="",C53="-"),"X",UPPER(C53))&amp;"-"&amp;TEXT(D53,"00"))</x:f>
      </x:c>
      <x:c r="B53" s="26"/>
      <x:c r="C53" s="26"/>
      <x:c r="D53" s="35"/>
      <x:c r="E53" s="28"/>
      <x:c r="F53" s="28"/>
      <x:c r="G53" s="28"/>
      <x:c r="H53" s="28"/>
      <x:c r="I53" s="28"/>
      <x:c r="J53" s="28"/>
      <x:c r="K53" s="28"/>
      <x:c r="L53" s="33"/>
      <x:c r="M53" s="33" t="str">
        <x:f>IF(E53="","CHỜ NHẬP","ĐÃ CÓ DỮ LIỆU")</x:f>
        <x:v>CHỜ NHẬP</x:v>
      </x:c>
      <x:c r="N53" s="33" t="str">
        <x:f>IF(AND(B53="",E53=""),"",IF(A53="","THIẾU ID",IF(COUNTIF($A$8:$A$67,A53)&gt;1,"TRÙNG ID",IF(COUNTIF(HANG_MUC!$A$6:$A$50,B53)=0,"SAI HẠNG MỤC","OK"))))</x:f>
      </x:c>
    </x:row>
    <x:row r="54">
      <x:c r="A54" s="33" t="str">
        <x:f>IF(OR(B54="",D54=""),"",B54&amp;"-"&amp;IF(OR(C54="",C54="-"),"X",UPPER(C54))&amp;"-"&amp;TEXT(D54,"00"))</x:f>
      </x:c>
      <x:c r="B54" s="26"/>
      <x:c r="C54" s="26"/>
      <x:c r="D54" s="35"/>
      <x:c r="E54" s="28"/>
      <x:c r="F54" s="28"/>
      <x:c r="G54" s="28"/>
      <x:c r="H54" s="28"/>
      <x:c r="I54" s="28"/>
      <x:c r="J54" s="28"/>
      <x:c r="K54" s="28"/>
      <x:c r="L54" s="33"/>
      <x:c r="M54" s="33" t="str">
        <x:f>IF(E54="","CHỜ NHẬP","ĐÃ CÓ DỮ LIỆU")</x:f>
        <x:v>CHỜ NHẬP</x:v>
      </x:c>
      <x:c r="N54" s="33" t="str">
        <x:f>IF(AND(B54="",E54=""),"",IF(A54="","THIẾU ID",IF(COUNTIF($A$8:$A$67,A54)&gt;1,"TRÙNG ID",IF(COUNTIF(HANG_MUC!$A$6:$A$50,B54)=0,"SAI HẠNG MỤC","OK"))))</x:f>
      </x:c>
    </x:row>
    <x:row r="55">
      <x:c r="A55" s="33" t="str">
        <x:f>IF(OR(B55="",D55=""),"",B55&amp;"-"&amp;IF(OR(C55="",C55="-"),"X",UPPER(C55))&amp;"-"&amp;TEXT(D55,"00"))</x:f>
      </x:c>
      <x:c r="B55" s="26"/>
      <x:c r="C55" s="26"/>
      <x:c r="D55" s="35"/>
      <x:c r="E55" s="28"/>
      <x:c r="F55" s="28"/>
      <x:c r="G55" s="28"/>
      <x:c r="H55" s="28"/>
      <x:c r="I55" s="28"/>
      <x:c r="J55" s="28"/>
      <x:c r="K55" s="28"/>
      <x:c r="L55" s="33"/>
      <x:c r="M55" s="33" t="str">
        <x:f>IF(E55="","CHỜ NHẬP","ĐÃ CÓ DỮ LIỆU")</x:f>
        <x:v>CHỜ NHẬP</x:v>
      </x:c>
      <x:c r="N55" s="33" t="str">
        <x:f>IF(AND(B55="",E55=""),"",IF(A55="","THIẾU ID",IF(COUNTIF($A$8:$A$67,A55)&gt;1,"TRÙNG ID",IF(COUNTIF(HANG_MUC!$A$6:$A$50,B55)=0,"SAI HẠNG MỤC","OK"))))</x:f>
      </x:c>
    </x:row>
    <x:row r="56">
      <x:c r="A56" s="33" t="str">
        <x:f>IF(OR(B56="",D56=""),"",B56&amp;"-"&amp;IF(OR(C56="",C56="-"),"X",UPPER(C56))&amp;"-"&amp;TEXT(D56,"00"))</x:f>
      </x:c>
      <x:c r="B56" s="26"/>
      <x:c r="C56" s="26"/>
      <x:c r="D56" s="35"/>
      <x:c r="E56" s="28"/>
      <x:c r="F56" s="28"/>
      <x:c r="G56" s="28"/>
      <x:c r="H56" s="28"/>
      <x:c r="I56" s="28"/>
      <x:c r="J56" s="28"/>
      <x:c r="K56" s="28"/>
      <x:c r="L56" s="33"/>
      <x:c r="M56" s="33" t="str">
        <x:f>IF(E56="","CHỜ NHẬP","ĐÃ CÓ DỮ LIỆU")</x:f>
        <x:v>CHỜ NHẬP</x:v>
      </x:c>
      <x:c r="N56" s="33" t="str">
        <x:f>IF(AND(B56="",E56=""),"",IF(A56="","THIẾU ID",IF(COUNTIF($A$8:$A$67,A56)&gt;1,"TRÙNG ID",IF(COUNTIF(HANG_MUC!$A$6:$A$50,B56)=0,"SAI HẠNG MỤC","OK"))))</x:f>
      </x:c>
    </x:row>
    <x:row r="57">
      <x:c r="A57" s="33" t="str">
        <x:f>IF(OR(B57="",D57=""),"",B57&amp;"-"&amp;IF(OR(C57="",C57="-"),"X",UPPER(C57))&amp;"-"&amp;TEXT(D57,"00"))</x:f>
      </x:c>
      <x:c r="B57" s="26"/>
      <x:c r="C57" s="26"/>
      <x:c r="D57" s="35"/>
      <x:c r="E57" s="28"/>
      <x:c r="F57" s="28"/>
      <x:c r="G57" s="28"/>
      <x:c r="H57" s="28"/>
      <x:c r="I57" s="28"/>
      <x:c r="J57" s="28"/>
      <x:c r="K57" s="28"/>
      <x:c r="L57" s="33"/>
      <x:c r="M57" s="33" t="str">
        <x:f>IF(E57="","CHỜ NHẬP","ĐÃ CÓ DỮ LIỆU")</x:f>
        <x:v>CHỜ NHẬP</x:v>
      </x:c>
      <x:c r="N57" s="33" t="str">
        <x:f>IF(AND(B57="",E57=""),"",IF(A57="","THIẾU ID",IF(COUNTIF($A$8:$A$67,A57)&gt;1,"TRÙNG ID",IF(COUNTIF(HANG_MUC!$A$6:$A$50,B57)=0,"SAI HẠNG MỤC","OK"))))</x:f>
      </x:c>
    </x:row>
    <x:row r="58">
      <x:c r="A58" s="33" t="str">
        <x:f>IF(OR(B58="",D58=""),"",B58&amp;"-"&amp;IF(OR(C58="",C58="-"),"X",UPPER(C58))&amp;"-"&amp;TEXT(D58,"00"))</x:f>
      </x:c>
      <x:c r="B58" s="26"/>
      <x:c r="C58" s="26"/>
      <x:c r="D58" s="35"/>
      <x:c r="E58" s="28"/>
      <x:c r="F58" s="28"/>
      <x:c r="G58" s="28"/>
      <x:c r="H58" s="28"/>
      <x:c r="I58" s="28"/>
      <x:c r="J58" s="28"/>
      <x:c r="K58" s="28"/>
      <x:c r="L58" s="33"/>
      <x:c r="M58" s="33" t="str">
        <x:f>IF(E58="","CHỜ NHẬP","ĐÃ CÓ DỮ LIỆU")</x:f>
        <x:v>CHỜ NHẬP</x:v>
      </x:c>
      <x:c r="N58" s="33" t="str">
        <x:f>IF(AND(B58="",E58=""),"",IF(A58="","THIẾU ID",IF(COUNTIF($A$8:$A$67,A58)&gt;1,"TRÙNG ID",IF(COUNTIF(HANG_MUC!$A$6:$A$50,B58)=0,"SAI HẠNG MỤC","OK"))))</x:f>
      </x:c>
    </x:row>
    <x:row r="59">
      <x:c r="A59" s="33" t="str">
        <x:f>IF(OR(B59="",D59=""),"",B59&amp;"-"&amp;IF(OR(C59="",C59="-"),"X",UPPER(C59))&amp;"-"&amp;TEXT(D59,"00"))</x:f>
      </x:c>
      <x:c r="B59" s="26"/>
      <x:c r="C59" s="26"/>
      <x:c r="D59" s="35"/>
      <x:c r="E59" s="28"/>
      <x:c r="F59" s="28"/>
      <x:c r="G59" s="28"/>
      <x:c r="H59" s="28"/>
      <x:c r="I59" s="28"/>
      <x:c r="J59" s="28"/>
      <x:c r="K59" s="28"/>
      <x:c r="L59" s="33"/>
      <x:c r="M59" s="33" t="str">
        <x:f>IF(E59="","CHỜ NHẬP","ĐÃ CÓ DỮ LIỆU")</x:f>
        <x:v>CHỜ NHẬP</x:v>
      </x:c>
      <x:c r="N59" s="33" t="str">
        <x:f>IF(AND(B59="",E59=""),"",IF(A59="","THIẾU ID",IF(COUNTIF($A$8:$A$67,A59)&gt;1,"TRÙNG ID",IF(COUNTIF(HANG_MUC!$A$6:$A$50,B59)=0,"SAI HẠNG MỤC","OK"))))</x:f>
      </x:c>
    </x:row>
    <x:row r="60">
      <x:c r="A60" s="33" t="str">
        <x:f>IF(OR(B60="",D60=""),"",B60&amp;"-"&amp;IF(OR(C60="",C60="-"),"X",UPPER(C60))&amp;"-"&amp;TEXT(D60,"00"))</x:f>
      </x:c>
      <x:c r="B60" s="26"/>
      <x:c r="C60" s="26"/>
      <x:c r="D60" s="35"/>
      <x:c r="E60" s="28"/>
      <x:c r="F60" s="28"/>
      <x:c r="G60" s="28"/>
      <x:c r="H60" s="28"/>
      <x:c r="I60" s="28"/>
      <x:c r="J60" s="28"/>
      <x:c r="K60" s="28"/>
      <x:c r="L60" s="33"/>
      <x:c r="M60" s="33" t="str">
        <x:f>IF(E60="","CHỜ NHẬP","ĐÃ CÓ DỮ LIỆU")</x:f>
        <x:v>CHỜ NHẬP</x:v>
      </x:c>
      <x:c r="N60" s="33" t="str">
        <x:f>IF(AND(B60="",E60=""),"",IF(A60="","THIẾU ID",IF(COUNTIF($A$8:$A$67,A60)&gt;1,"TRÙNG ID",IF(COUNTIF(HANG_MUC!$A$6:$A$50,B60)=0,"SAI HẠNG MỤC","OK"))))</x:f>
      </x:c>
    </x:row>
    <x:row r="61">
      <x:c r="A61" s="33" t="str">
        <x:f>IF(OR(B61="",D61=""),"",B61&amp;"-"&amp;IF(OR(C61="",C61="-"),"X",UPPER(C61))&amp;"-"&amp;TEXT(D61,"00"))</x:f>
      </x:c>
      <x:c r="B61" s="26"/>
      <x:c r="C61" s="26"/>
      <x:c r="D61" s="35"/>
      <x:c r="E61" s="28"/>
      <x:c r="F61" s="28"/>
      <x:c r="G61" s="28"/>
      <x:c r="H61" s="28"/>
      <x:c r="I61" s="28"/>
      <x:c r="J61" s="28"/>
      <x:c r="K61" s="28"/>
      <x:c r="L61" s="33"/>
      <x:c r="M61" s="33" t="str">
        <x:f>IF(E61="","CHỜ NHẬP","ĐÃ CÓ DỮ LIỆU")</x:f>
        <x:v>CHỜ NHẬP</x:v>
      </x:c>
      <x:c r="N61" s="33" t="str">
        <x:f>IF(AND(B61="",E61=""),"",IF(A61="","THIẾU ID",IF(COUNTIF($A$8:$A$67,A61)&gt;1,"TRÙNG ID",IF(COUNTIF(HANG_MUC!$A$6:$A$50,B61)=0,"SAI HẠNG MỤC","OK"))))</x:f>
      </x:c>
    </x:row>
    <x:row r="62">
      <x:c r="A62" s="33" t="str">
        <x:f>IF(OR(B62="",D62=""),"",B62&amp;"-"&amp;IF(OR(C62="",C62="-"),"X",UPPER(C62))&amp;"-"&amp;TEXT(D62,"00"))</x:f>
      </x:c>
      <x:c r="B62" s="26"/>
      <x:c r="C62" s="26"/>
      <x:c r="D62" s="35"/>
      <x:c r="E62" s="28"/>
      <x:c r="F62" s="28"/>
      <x:c r="G62" s="28"/>
      <x:c r="H62" s="28"/>
      <x:c r="I62" s="28"/>
      <x:c r="J62" s="28"/>
      <x:c r="K62" s="28"/>
      <x:c r="L62" s="33"/>
      <x:c r="M62" s="33" t="str">
        <x:f>IF(E62="","CHỜ NHẬP","ĐÃ CÓ DỮ LIỆU")</x:f>
        <x:v>CHỜ NHẬP</x:v>
      </x:c>
      <x:c r="N62" s="33" t="str">
        <x:f>IF(AND(B62="",E62=""),"",IF(A62="","THIẾU ID",IF(COUNTIF($A$8:$A$67,A62)&gt;1,"TRÙNG ID",IF(COUNTIF(HANG_MUC!$A$6:$A$50,B62)=0,"SAI HẠNG MỤC","OK"))))</x:f>
      </x:c>
    </x:row>
    <x:row r="63">
      <x:c r="A63" s="33" t="str">
        <x:f>IF(OR(B63="",D63=""),"",B63&amp;"-"&amp;IF(OR(C63="",C63="-"),"X",UPPER(C63))&amp;"-"&amp;TEXT(D63,"00"))</x:f>
      </x:c>
      <x:c r="B63" s="26"/>
      <x:c r="C63" s="26"/>
      <x:c r="D63" s="35"/>
      <x:c r="E63" s="28"/>
      <x:c r="F63" s="28"/>
      <x:c r="G63" s="28"/>
      <x:c r="H63" s="28"/>
      <x:c r="I63" s="28"/>
      <x:c r="J63" s="28"/>
      <x:c r="K63" s="28"/>
      <x:c r="L63" s="33"/>
      <x:c r="M63" s="33" t="str">
        <x:f>IF(E63="","CHỜ NHẬP","ĐÃ CÓ DỮ LIỆU")</x:f>
        <x:v>CHỜ NHẬP</x:v>
      </x:c>
      <x:c r="N63" s="33" t="str">
        <x:f>IF(AND(B63="",E63=""),"",IF(A63="","THIẾU ID",IF(COUNTIF($A$8:$A$67,A63)&gt;1,"TRÙNG ID",IF(COUNTIF(HANG_MUC!$A$6:$A$50,B63)=0,"SAI HẠNG MỤC","OK"))))</x:f>
      </x:c>
    </x:row>
    <x:row r="64">
      <x:c r="A64" s="33" t="str">
        <x:f>IF(OR(B64="",D64=""),"",B64&amp;"-"&amp;IF(OR(C64="",C64="-"),"X",UPPER(C64))&amp;"-"&amp;TEXT(D64,"00"))</x:f>
      </x:c>
      <x:c r="B64" s="26"/>
      <x:c r="C64" s="26"/>
      <x:c r="D64" s="35"/>
      <x:c r="E64" s="28"/>
      <x:c r="F64" s="28"/>
      <x:c r="G64" s="28"/>
      <x:c r="H64" s="28"/>
      <x:c r="I64" s="28"/>
      <x:c r="J64" s="28"/>
      <x:c r="K64" s="28"/>
      <x:c r="L64" s="33"/>
      <x:c r="M64" s="33" t="str">
        <x:f>IF(E64="","CHỜ NHẬP","ĐÃ CÓ DỮ LIỆU")</x:f>
        <x:v>CHỜ NHẬP</x:v>
      </x:c>
      <x:c r="N64" s="33" t="str">
        <x:f>IF(AND(B64="",E64=""),"",IF(A64="","THIẾU ID",IF(COUNTIF($A$8:$A$67,A64)&gt;1,"TRÙNG ID",IF(COUNTIF(HANG_MUC!$A$6:$A$50,B64)=0,"SAI HẠNG MỤC","OK"))))</x:f>
      </x:c>
    </x:row>
    <x:row r="65">
      <x:c r="A65" s="33" t="str">
        <x:f>IF(OR(B65="",D65=""),"",B65&amp;"-"&amp;IF(OR(C65="",C65="-"),"X",UPPER(C65))&amp;"-"&amp;TEXT(D65,"00"))</x:f>
      </x:c>
      <x:c r="B65" s="26"/>
      <x:c r="C65" s="26"/>
      <x:c r="D65" s="35"/>
      <x:c r="E65" s="28"/>
      <x:c r="F65" s="28"/>
      <x:c r="G65" s="28"/>
      <x:c r="H65" s="28"/>
      <x:c r="I65" s="28"/>
      <x:c r="J65" s="28"/>
      <x:c r="K65" s="28"/>
      <x:c r="L65" s="33"/>
      <x:c r="M65" s="33" t="str">
        <x:f>IF(E65="","CHỜ NHẬP","ĐÃ CÓ DỮ LIỆU")</x:f>
        <x:v>CHỜ NHẬP</x:v>
      </x:c>
      <x:c r="N65" s="33" t="str">
        <x:f>IF(AND(B65="",E65=""),"",IF(A65="","THIẾU ID",IF(COUNTIF($A$8:$A$67,A65)&gt;1,"TRÙNG ID",IF(COUNTIF(HANG_MUC!$A$6:$A$50,B65)=0,"SAI HẠNG MỤC","OK"))))</x:f>
      </x:c>
    </x:row>
    <x:row r="66">
      <x:c r="A66" s="33" t="str">
        <x:f>IF(OR(B66="",D66=""),"",B66&amp;"-"&amp;IF(OR(C66="",C66="-"),"X",UPPER(C66))&amp;"-"&amp;TEXT(D66,"00"))</x:f>
      </x:c>
      <x:c r="B66" s="26"/>
      <x:c r="C66" s="26"/>
      <x:c r="D66" s="35"/>
      <x:c r="E66" s="28"/>
      <x:c r="F66" s="28"/>
      <x:c r="G66" s="28"/>
      <x:c r="H66" s="28"/>
      <x:c r="I66" s="28"/>
      <x:c r="J66" s="28"/>
      <x:c r="K66" s="28"/>
      <x:c r="L66" s="33"/>
      <x:c r="M66" s="33" t="str">
        <x:f>IF(E66="","CHỜ NHẬP","ĐÃ CÓ DỮ LIỆU")</x:f>
        <x:v>CHỜ NHẬP</x:v>
      </x:c>
      <x:c r="N66" s="33" t="str">
        <x:f>IF(AND(B66="",E66=""),"",IF(A66="","THIẾU ID",IF(COUNTIF($A$8:$A$67,A66)&gt;1,"TRÙNG ID",IF(COUNTIF(HANG_MUC!$A$6:$A$50,B66)=0,"SAI HẠNG MỤC","OK"))))</x:f>
      </x:c>
    </x:row>
    <x:row r="67">
      <x:c r="A67" s="33" t="str">
        <x:f>IF(OR(B67="",D67=""),"",B67&amp;"-"&amp;IF(OR(C67="",C67="-"),"X",UPPER(C67))&amp;"-"&amp;TEXT(D67,"00"))</x:f>
      </x:c>
      <x:c r="B67" s="26"/>
      <x:c r="C67" s="26"/>
      <x:c r="D67" s="35"/>
      <x:c r="E67" s="28"/>
      <x:c r="F67" s="28"/>
      <x:c r="G67" s="28"/>
      <x:c r="H67" s="28"/>
      <x:c r="I67" s="28"/>
      <x:c r="J67" s="28"/>
      <x:c r="K67" s="28"/>
      <x:c r="L67" s="33"/>
      <x:c r="M67" s="33" t="str">
        <x:f>IF(E67="","CHỜ NHẬP","ĐÃ CÓ DỮ LIỆU")</x:f>
        <x:v>CHỜ NHẬP</x:v>
      </x:c>
      <x:c r="N67" s="33" t="str">
        <x:f>IF(AND(B67="",E67=""),"",IF(A67="","THIẾU ID",IF(COUNTIF($A$8:$A$67,A67)&gt;1,"TRÙNG ID",IF(COUNTIF(HANG_MUC!$A$6:$A$50,B67)=0,"SAI HẠNG MỤC","OK"))))</x:f>
      </x:c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67">
    <x:cfRule type="containsText" dxfId="26" priority="1" operator="containsText" text="TRÙNG"/>
    <x:cfRule type="containsText" dxfId="27" priority="2" operator="containsText" text="SAI"/>
    <x:cfRule type="containsText" dxfId="28" priority="3" operator="containsText" text="THIẾU"/>
    <x:cfRule type="containsText" dxfId="29" priority="4" operator="containsText" text="OK"/>
  </x:conditionalFormatting>
  <x:conditionalFormatting sqref="M8:M67">
    <x:cfRule type="containsText" dxfId="30" priority="5" operator="containsText" text="CHỜ"/>
  </x:conditionalFormatting>
  <x:dataValidations count="3">
    <x:dataValidation type="list" sqref="B8:B67">
      <x:formula1>HANG_MUC!$A$18:$A$24</x:formula1>
    </x:dataValidation>
    <x:dataValidation type="list" sqref="C8:C67">
      <x:formula1>"-,A,B,C,D,E,F,G,H"</x:formula1>
    </x:dataValidation>
    <x:dataValidation type="whole" operator="between" sqref="D8:D67">
      <x:formula1>1</x:formula1>
      <x:formula2>999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Điền kinh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DK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DK-NAM45-5K-X-01</x:v>
      </x:c>
      <x:c r="B8" s="24" t="str">
        <x:v>DK-NAM45-5K</x:v>
      </x:c>
      <x:c r="C8" s="24" t="str">
        <x:v>-</x:v>
      </x:c>
      <x:c r="D8" s="34" t="n">
        <x:v>1</x:v>
      </x:c>
      <x:c r="E8" s="27" t="str">
        <x:v>Hoàng Minh Dự</x:v>
      </x:c>
      <x:c r="F8" s="27" t="str"/>
      <x:c r="G8" s="27" t="str"/>
      <x:c r="H8" s="27" t="str"/>
      <x:c r="I8" s="27" t="str"/>
      <x:c r="J8" s="27" t="str">
        <x:v>PTSC HQ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ID",IF(COUNTIF($A$8:$A$136,A8)&gt;1,"TRÙNG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DK-NAM45-5K-X-02</x:v>
      </x:c>
      <x:c r="B9" s="26" t="str">
        <x:v>DK-NAM45-5K</x:v>
      </x:c>
      <x:c r="C9" s="26" t="str">
        <x:v>-</x:v>
      </x:c>
      <x:c r="D9" s="35" t="n">
        <x:v>2</x:v>
      </x:c>
      <x:c r="E9" s="28" t="str">
        <x:v>Nguyễn Quốc Thông</x:v>
      </x:c>
      <x:c r="F9" s="28" t="str"/>
      <x:c r="G9" s="28" t="str"/>
      <x:c r="H9" s="28" t="str"/>
      <x:c r="I9" s="28" t="str"/>
      <x:c r="J9" s="28" t="str">
        <x:v>PTSC HQ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ID",IF(COUNTIF($A$8:$A$136,A9)&gt;1,"TRÙNG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DK-NAM45-5K-X-03</x:v>
      </x:c>
      <x:c r="B10" s="26" t="str">
        <x:v>DK-NAM45-5K</x:v>
      </x:c>
      <x:c r="C10" s="26" t="str">
        <x:v>-</x:v>
      </x:c>
      <x:c r="D10" s="35" t="n">
        <x:v>3</x:v>
      </x:c>
      <x:c r="E10" s="28" t="str">
        <x:v>Phan Trọng Tấn</x:v>
      </x:c>
      <x:c r="F10" s="28" t="str"/>
      <x:c r="G10" s="28" t="str"/>
      <x:c r="H10" s="28" t="str"/>
      <x:c r="I10" s="28" t="str"/>
      <x:c r="J10" s="28" t="str">
        <x:v>PTSC HQ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ID",IF(COUNTIF($A$8:$A$136,A10)&gt;1,"TRÙNG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DK-NAM45-5K-X-04</x:v>
      </x:c>
      <x:c r="B11" s="26" t="str">
        <x:v>DK-NAM45-5K</x:v>
      </x:c>
      <x:c r="C11" s="26" t="str">
        <x:v>-</x:v>
      </x:c>
      <x:c r="D11" s="35" t="n">
        <x:v>4</x:v>
      </x:c>
      <x:c r="E11" s="28" t="str">
        <x:v>Hà Phi Long</x:v>
      </x:c>
      <x:c r="F11" s="28" t="str"/>
      <x:c r="G11" s="28" t="str"/>
      <x:c r="H11" s="28" t="str"/>
      <x:c r="I11" s="28" t="str"/>
      <x:c r="J11" s="28" t="str">
        <x:v>PTSC HQ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ID",IF(COUNTIF($A$8:$A$136,A11)&gt;1,"TRÙNG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DK-NAM45-5K-X-05</x:v>
      </x:c>
      <x:c r="B12" s="26" t="str">
        <x:v>DK-NAM45-5K</x:v>
      </x:c>
      <x:c r="C12" s="26" t="str">
        <x:v>-</x:v>
      </x:c>
      <x:c r="D12" s="35" t="n">
        <x:v>5</x:v>
      </x:c>
      <x:c r="E12" s="28" t="str">
        <x:v>Lê Quang Hoàng Đức</x:v>
      </x:c>
      <x:c r="F12" s="28" t="str"/>
      <x:c r="G12" s="28" t="str"/>
      <x:c r="H12" s="28" t="str"/>
      <x:c r="I12" s="28" t="str"/>
      <x:c r="J12" s="28" t="str">
        <x:v>PTSC M&amp;C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ID",IF(COUNTIF($A$8:$A$136,A12)&gt;1,"TRÙNG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DK-NAM45-5K-X-06</x:v>
      </x:c>
      <x:c r="B13" s="26" t="str">
        <x:v>DK-NAM45-5K</x:v>
      </x:c>
      <x:c r="C13" s="26" t="str">
        <x:v>-</x:v>
      </x:c>
      <x:c r="D13" s="35" t="n">
        <x:v>6</x:v>
      </x:c>
      <x:c r="E13" s="28" t="str">
        <x:v>Lê Đức Vương</x:v>
      </x:c>
      <x:c r="F13" s="28" t="str"/>
      <x:c r="G13" s="28" t="str"/>
      <x:c r="H13" s="28" t="str"/>
      <x:c r="I13" s="28" t="str"/>
      <x:c r="J13" s="28" t="str">
        <x:v>PTSC M&amp;C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ID",IF(COUNTIF($A$8:$A$136,A13)&gt;1,"TRÙNG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DK-NAM45-5K-X-07</x:v>
      </x:c>
      <x:c r="B14" s="26" t="str">
        <x:v>DK-NAM45-5K</x:v>
      </x:c>
      <x:c r="C14" s="26" t="str">
        <x:v>-</x:v>
      </x:c>
      <x:c r="D14" s="35" t="n">
        <x:v>7</x:v>
      </x:c>
      <x:c r="E14" s="28" t="str">
        <x:v>Lê Thanh Tuấn</x:v>
      </x:c>
      <x:c r="F14" s="28" t="str"/>
      <x:c r="G14" s="28" t="str"/>
      <x:c r="H14" s="28" t="str"/>
      <x:c r="I14" s="28" t="str"/>
      <x:c r="J14" s="28" t="str">
        <x:v>PTSC M&amp;C</x:v>
      </x:c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ID",IF(COUNTIF($A$8:$A$136,A14)&gt;1,"TRÙNG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DK-NAM45-5K-X-08</x:v>
      </x:c>
      <x:c r="B15" s="26" t="str">
        <x:v>DK-NAM45-5K</x:v>
      </x:c>
      <x:c r="C15" s="26" t="str">
        <x:v>-</x:v>
      </x:c>
      <x:c r="D15" s="35" t="n">
        <x:v>8</x:v>
      </x:c>
      <x:c r="E15" s="28" t="str">
        <x:v>Ngô Việt Cường</x:v>
      </x:c>
      <x:c r="F15" s="28" t="str"/>
      <x:c r="G15" s="28" t="str"/>
      <x:c r="H15" s="28" t="str"/>
      <x:c r="I15" s="28" t="str"/>
      <x:c r="J15" s="28" t="str">
        <x:v>PPS</x:v>
      </x:c>
      <x:c r="K15" s="28" t="str"/>
      <x:c r="L15" s="33" t="n">
        <x:v>1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ID",IF(COUNTIF($A$8:$A$136,A15)&gt;1,"TRÙNG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DK-NAM45-5K-X-09</x:v>
      </x:c>
      <x:c r="B16" s="26" t="str">
        <x:v>DK-NAM45-5K</x:v>
      </x:c>
      <x:c r="C16" s="26" t="str">
        <x:v>-</x:v>
      </x:c>
      <x:c r="D16" s="35" t="n">
        <x:v>9</x:v>
      </x:c>
      <x:c r="E16" s="28" t="str">
        <x:v>Nguyễn Hoàng Anh</x:v>
      </x:c>
      <x:c r="F16" s="28" t="str"/>
      <x:c r="G16" s="28" t="str"/>
      <x:c r="H16" s="28" t="str"/>
      <x:c r="I16" s="28" t="str"/>
      <x:c r="J16" s="28" t="str">
        <x:v>PPS</x:v>
      </x:c>
      <x:c r="K16" s="28" t="str"/>
      <x:c r="L16" s="33" t="n">
        <x:v>1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ID",IF(COUNTIF($A$8:$A$136,A16)&gt;1,"TRÙNG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DK-NAM45-5K-X-10</x:v>
      </x:c>
      <x:c r="B17" s="26" t="str">
        <x:v>DK-NAM45-5K</x:v>
      </x:c>
      <x:c r="C17" s="26" t="str">
        <x:v>-</x:v>
      </x:c>
      <x:c r="D17" s="35" t="n">
        <x:v>10</x:v>
      </x:c>
      <x:c r="E17" s="28" t="str">
        <x:v>Đinh Văn Thắng</x:v>
      </x:c>
      <x:c r="F17" s="28" t="str"/>
      <x:c r="G17" s="28" t="str"/>
      <x:c r="H17" s="28" t="str"/>
      <x:c r="I17" s="28" t="str"/>
      <x:c r="J17" s="28" t="str">
        <x:v>PPS</x:v>
      </x:c>
      <x:c r="K17" s="28" t="str"/>
      <x:c r="L17" s="33" t="n">
        <x:v>1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ID",IF(COUNTIF($A$8:$A$136,A17)&gt;1,"TRÙNG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DK-NAM45-5K-X-11</x:v>
      </x:c>
      <x:c r="B18" s="26" t="str">
        <x:v>DK-NAM45-5K</x:v>
      </x:c>
      <x:c r="C18" s="26" t="str">
        <x:v>-</x:v>
      </x:c>
      <x:c r="D18" s="35" t="n">
        <x:v>11</x:v>
      </x:c>
      <x:c r="E18" s="28" t="str">
        <x:v>Trịnh Đăng Thanh</x:v>
      </x:c>
      <x:c r="F18" s="28" t="str"/>
      <x:c r="G18" s="28" t="str"/>
      <x:c r="H18" s="28" t="str"/>
      <x:c r="I18" s="28" t="str"/>
      <x:c r="J18" s="28" t="str">
        <x:v>PTSC G&amp;S</x:v>
      </x:c>
      <x:c r="K18" s="28" t="str"/>
      <x:c r="L18" s="33" t="n">
        <x:v>1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ID",IF(COUNTIF($A$8:$A$136,A18)&gt;1,"TRÙNG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DK-NAM45-5K-X-12</x:v>
      </x:c>
      <x:c r="B19" s="26" t="str">
        <x:v>DK-NAM45-5K</x:v>
      </x:c>
      <x:c r="C19" s="26" t="str">
        <x:v>-</x:v>
      </x:c>
      <x:c r="D19" s="35" t="n">
        <x:v>12</x:v>
      </x:c>
      <x:c r="E19" s="28" t="str">
        <x:v>Nguyễn Trung Tính</x:v>
      </x:c>
      <x:c r="F19" s="28" t="str"/>
      <x:c r="G19" s="28" t="str"/>
      <x:c r="H19" s="28" t="str"/>
      <x:c r="I19" s="28" t="str"/>
      <x:c r="J19" s="28" t="str">
        <x:v>PTSC Long Phú</x:v>
      </x:c>
      <x:c r="K19" s="28" t="str"/>
      <x:c r="L19" s="33" t="n">
        <x:v>1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ID",IF(COUNTIF($A$8:$A$136,A19)&gt;1,"TRÙNG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DK-NAM45-5K-X-13</x:v>
      </x:c>
      <x:c r="B20" s="26" t="str">
        <x:v>DK-NAM45-5K</x:v>
      </x:c>
      <x:c r="C20" s="26" t="str">
        <x:v>-</x:v>
      </x:c>
      <x:c r="D20" s="35" t="n">
        <x:v>13</x:v>
      </x:c>
      <x:c r="E20" s="28" t="str">
        <x:v>Nguyễn Đăng Vi</x:v>
      </x:c>
      <x:c r="F20" s="28" t="str"/>
      <x:c r="G20" s="28" t="str"/>
      <x:c r="H20" s="28" t="str"/>
      <x:c r="I20" s="28" t="str"/>
      <x:c r="J20" s="28" t="str">
        <x:v>PTSC Long Phú</x:v>
      </x:c>
      <x:c r="K20" s="28" t="str"/>
      <x:c r="L20" s="33" t="n">
        <x:v>1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ID",IF(COUNTIF($A$8:$A$136,A20)&gt;1,"TRÙNG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DK-NAM45-5K-X-14</x:v>
      </x:c>
      <x:c r="B21" s="26" t="str">
        <x:v>DK-NAM45-5K</x:v>
      </x:c>
      <x:c r="C21" s="26" t="str">
        <x:v>-</x:v>
      </x:c>
      <x:c r="D21" s="35" t="n">
        <x:v>14</x:v>
      </x:c>
      <x:c r="E21" s="28" t="str">
        <x:v>Nguyễn Minh Hải</x:v>
      </x:c>
      <x:c r="F21" s="28" t="str"/>
      <x:c r="G21" s="28" t="str"/>
      <x:c r="H21" s="28" t="str"/>
      <x:c r="I21" s="28" t="str"/>
      <x:c r="J21" s="28" t="str">
        <x:v>PTSC Long Phú</x:v>
      </x:c>
      <x:c r="K21" s="28" t="str"/>
      <x:c r="L21" s="33" t="n">
        <x:v>1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ID",IF(COUNTIF($A$8:$A$136,A21)&gt;1,"TRÙNG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DK-NAM45-5K-X-15</x:v>
      </x:c>
      <x:c r="B22" s="26" t="str">
        <x:v>DK-NAM45-5K</x:v>
      </x:c>
      <x:c r="C22" s="26" t="str">
        <x:v>-</x:v>
      </x:c>
      <x:c r="D22" s="35" t="n">
        <x:v>15</x:v>
      </x:c>
      <x:c r="E22" s="28" t="str">
        <x:v>Bùi Đình Huy</x:v>
      </x:c>
      <x:c r="F22" s="28" t="str"/>
      <x:c r="G22" s="28" t="str"/>
      <x:c r="H22" s="28" t="str"/>
      <x:c r="I22" s="28" t="str"/>
      <x:c r="J22" s="28" t="str">
        <x:v>PTSC Đình Vũ</x:v>
      </x:c>
      <x:c r="K22" s="28" t="str"/>
      <x:c r="L22" s="33" t="n">
        <x:v>1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ID",IF(COUNTIF($A$8:$A$136,A22)&gt;1,"TRÙNG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DK-NAM45-5K-X-16</x:v>
      </x:c>
      <x:c r="B23" s="26" t="str">
        <x:v>DK-NAM45-5K</x:v>
      </x:c>
      <x:c r="C23" s="26" t="str">
        <x:v>-</x:v>
      </x:c>
      <x:c r="D23" s="35" t="n">
        <x:v>16</x:v>
      </x:c>
      <x:c r="E23" s="28" t="str">
        <x:v>Cao Thanh Nguyên</x:v>
      </x:c>
      <x:c r="F23" s="28" t="str"/>
      <x:c r="G23" s="28" t="str"/>
      <x:c r="H23" s="28" t="str"/>
      <x:c r="I23" s="28" t="str"/>
      <x:c r="J23" s="28" t="str">
        <x:v>PVSecurity</x:v>
      </x:c>
      <x:c r="K23" s="28" t="str"/>
      <x:c r="L23" s="33" t="n">
        <x:v>1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ID",IF(COUNTIF($A$8:$A$136,A23)&gt;1,"TRÙNG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DK-NAM45-5K-X-17</x:v>
      </x:c>
      <x:c r="B24" s="26" t="str">
        <x:v>DK-NAM45-5K</x:v>
      </x:c>
      <x:c r="C24" s="26" t="str">
        <x:v>-</x:v>
      </x:c>
      <x:c r="D24" s="35" t="n">
        <x:v>17</x:v>
      </x:c>
      <x:c r="E24" s="28" t="str">
        <x:v>Nguyễn Mạnh Cường</x:v>
      </x:c>
      <x:c r="F24" s="28" t="str"/>
      <x:c r="G24" s="28" t="str"/>
      <x:c r="H24" s="28" t="str"/>
      <x:c r="I24" s="28" t="str"/>
      <x:c r="J24" s="28" t="str">
        <x:v>PVSecurity</x:v>
      </x:c>
      <x:c r="K24" s="28" t="str"/>
      <x:c r="L24" s="33" t="n">
        <x:v>1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ID",IF(COUNTIF($A$8:$A$136,A24)&gt;1,"TRÙNG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DK-NAM45-5K-X-18</x:v>
      </x:c>
      <x:c r="B25" s="26" t="str">
        <x:v>DK-NAM45-5K</x:v>
      </x:c>
      <x:c r="C25" s="26" t="str">
        <x:v>-</x:v>
      </x:c>
      <x:c r="D25" s="35" t="n">
        <x:v>18</x:v>
      </x:c>
      <x:c r="E25" s="28" t="str">
        <x:v>Trần Duy Thanh</x:v>
      </x:c>
      <x:c r="F25" s="28" t="str"/>
      <x:c r="G25" s="28" t="str"/>
      <x:c r="H25" s="28" t="str"/>
      <x:c r="I25" s="28" t="str"/>
      <x:c r="J25" s="28" t="str">
        <x:v>PVSecurity</x:v>
      </x:c>
      <x:c r="K25" s="28" t="str"/>
      <x:c r="L25" s="33" t="n">
        <x:v>1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ID",IF(COUNTIF($A$8:$A$136,A25)&gt;1,"TRÙNG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DK-NAM45-5K-X-19</x:v>
      </x:c>
      <x:c r="B26" s="26" t="str">
        <x:v>DK-NAM45-5K</x:v>
      </x:c>
      <x:c r="C26" s="26" t="str">
        <x:v>-</x:v>
      </x:c>
      <x:c r="D26" s="35" t="n">
        <x:v>19</x:v>
      </x:c>
      <x:c r="E26" s="28" t="str">
        <x:v>Trần Hải Nguyên</x:v>
      </x:c>
      <x:c r="F26" s="28" t="str"/>
      <x:c r="G26" s="28" t="str"/>
      <x:c r="H26" s="28" t="str"/>
      <x:c r="I26" s="28" t="str"/>
      <x:c r="J26" s="28" t="str">
        <x:v>PVSecurity</x:v>
      </x:c>
      <x:c r="K26" s="28" t="str"/>
      <x:c r="L26" s="33" t="n">
        <x:v>1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ID",IF(COUNTIF($A$8:$A$136,A26)&gt;1,"TRÙNG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DK-NAM45-5K-X-20</x:v>
      </x:c>
      <x:c r="B27" s="26" t="str">
        <x:v>DK-NAM45-5K</x:v>
      </x:c>
      <x:c r="C27" s="26" t="str">
        <x:v>-</x:v>
      </x:c>
      <x:c r="D27" s="35" t="n">
        <x:v>20</x:v>
      </x:c>
      <x:c r="E27" s="28" t="str">
        <x:v>Nguyễn Hoàng Phát</x:v>
      </x:c>
      <x:c r="F27" s="28" t="str"/>
      <x:c r="G27" s="28" t="str"/>
      <x:c r="H27" s="28" t="str"/>
      <x:c r="I27" s="28" t="str"/>
      <x:c r="J27" s="28" t="str">
        <x:v>PVSecurity</x:v>
      </x:c>
      <x:c r="K27" s="28" t="str"/>
      <x:c r="L27" s="33" t="n">
        <x:v>1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ID",IF(COUNTIF($A$8:$A$136,A27)&gt;1,"TRÙNG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DK-NAM45-5K-X-21</x:v>
      </x:c>
      <x:c r="B28" s="26" t="str">
        <x:v>DK-NAM45-5K</x:v>
      </x:c>
      <x:c r="C28" s="26" t="str">
        <x:v>-</x:v>
      </x:c>
      <x:c r="D28" s="35" t="n">
        <x:v>21</x:v>
      </x:c>
      <x:c r="E28" s="28" t="str">
        <x:v>Nguyễn Duy Thông</x:v>
      </x:c>
      <x:c r="F28" s="28" t="str"/>
      <x:c r="G28" s="28" t="str"/>
      <x:c r="H28" s="28" t="str"/>
      <x:c r="I28" s="28" t="str"/>
      <x:c r="J28" s="28" t="str">
        <x:v>PTSC Quảng Ngãi</x:v>
      </x:c>
      <x:c r="K28" s="28" t="str"/>
      <x:c r="L28" s="33" t="n">
        <x:v>1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ID",IF(COUNTIF($A$8:$A$136,A28)&gt;1,"TRÙNG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DK-NAM45-5K-X-22</x:v>
      </x:c>
      <x:c r="B29" s="26" t="str">
        <x:v>DK-NAM45-5K</x:v>
      </x:c>
      <x:c r="C29" s="26" t="str">
        <x:v>-</x:v>
      </x:c>
      <x:c r="D29" s="35" t="n">
        <x:v>22</x:v>
      </x:c>
      <x:c r="E29" s="28" t="str">
        <x:v>Đỗ Đăng Thành Luân</x:v>
      </x:c>
      <x:c r="F29" s="28" t="str"/>
      <x:c r="G29" s="28" t="str"/>
      <x:c r="H29" s="28" t="str"/>
      <x:c r="I29" s="28" t="str"/>
      <x:c r="J29" s="28" t="str">
        <x:v>PTSC Quảng Ngãi</x:v>
      </x:c>
      <x:c r="K29" s="28" t="str"/>
      <x:c r="L29" s="33" t="n">
        <x:v>1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ID",IF(COUNTIF($A$8:$A$136,A29)&gt;1,"TRÙNG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DK-NAM45-5K-X-23</x:v>
      </x:c>
      <x:c r="B30" s="26" t="str">
        <x:v>DK-NAM45-5K</x:v>
      </x:c>
      <x:c r="C30" s="26" t="str">
        <x:v>-</x:v>
      </x:c>
      <x:c r="D30" s="35" t="n">
        <x:v>23</x:v>
      </x:c>
      <x:c r="E30" s="28" t="str">
        <x:v>Dương Thái Thạch</x:v>
      </x:c>
      <x:c r="F30" s="28" t="str"/>
      <x:c r="G30" s="28" t="str"/>
      <x:c r="H30" s="28" t="str"/>
      <x:c r="I30" s="28" t="str"/>
      <x:c r="J30" s="28" t="str">
        <x:v>PTSC Miền Trung</x:v>
      </x:c>
      <x:c r="K30" s="28" t="str"/>
      <x:c r="L30" s="33" t="n">
        <x:v>1</x:v>
      </x:c>
      <x:c r="M30" s="33" t="str">
        <x:f>IF(E30="","CHỜ NHẬP","ĐÃ CÓ DỮ LIỆU")</x:f>
        <x:v>ĐÃ CÓ DỮ LIỆU</x:v>
      </x:c>
      <x:c r="N30" s="33" t="str">
        <x:f>IF(AND(B30="",E30=""),"",IF(A30="","THIẾU ID",IF(COUNTIF($A$8:$A$136,A30)&gt;1,"TRÙNG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DK-NAM45-5K-X-24</x:v>
      </x:c>
      <x:c r="B31" s="26" t="str">
        <x:v>DK-NAM45-5K</x:v>
      </x:c>
      <x:c r="C31" s="26" t="str">
        <x:v>-</x:v>
      </x:c>
      <x:c r="D31" s="35" t="n">
        <x:v>24</x:v>
      </x:c>
      <x:c r="E31" s="28" t="str">
        <x:v>Nguyễn Minh Quân</x:v>
      </x:c>
      <x:c r="F31" s="28" t="str"/>
      <x:c r="G31" s="28" t="str"/>
      <x:c r="H31" s="28" t="str"/>
      <x:c r="I31" s="28" t="str"/>
      <x:c r="J31" s="28" t="str">
        <x:v>PVShipyard</x:v>
      </x:c>
      <x:c r="K31" s="28" t="str"/>
      <x:c r="L31" s="33" t="n">
        <x:v>1</x:v>
      </x:c>
      <x:c r="M31" s="33" t="str">
        <x:f>IF(E31="","CHỜ NHẬP","ĐÃ CÓ DỮ LIỆU")</x:f>
        <x:v>ĐÃ CÓ DỮ LIỆU</x:v>
      </x:c>
      <x:c r="N31" s="33" t="str">
        <x:f>IF(AND(B31="",E31=""),"",IF(A31="","THIẾU ID",IF(COUNTIF($A$8:$A$136,A31)&gt;1,"TRÙNG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DK-NAM45-5K-X-25</x:v>
      </x:c>
      <x:c r="B32" s="26" t="str">
        <x:v>DK-NAM45-5K</x:v>
      </x:c>
      <x:c r="C32" s="26" t="str">
        <x:v>-</x:v>
      </x:c>
      <x:c r="D32" s="35" t="n">
        <x:v>25</x:v>
      </x:c>
      <x:c r="E32" s="28" t="str">
        <x:v>Nguyễn Nhật Linh</x:v>
      </x:c>
      <x:c r="F32" s="28" t="str"/>
      <x:c r="G32" s="28" t="str"/>
      <x:c r="H32" s="28" t="str"/>
      <x:c r="I32" s="28" t="str"/>
      <x:c r="J32" s="28" t="str">
        <x:v>PVShipyard</x:v>
      </x:c>
      <x:c r="K32" s="28" t="str"/>
      <x:c r="L32" s="33" t="n">
        <x:v>1</x:v>
      </x:c>
      <x:c r="M32" s="33" t="str">
        <x:f>IF(E32="","CHỜ NHẬP","ĐÃ CÓ DỮ LIỆU")</x:f>
        <x:v>ĐÃ CÓ DỮ LIỆU</x:v>
      </x:c>
      <x:c r="N32" s="33" t="str">
        <x:f>IF(AND(B32="",E32=""),"",IF(A32="","THIẾU ID",IF(COUNTIF($A$8:$A$136,A32)&gt;1,"TRÙNG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DK-NAM45-5K-X-26</x:v>
      </x:c>
      <x:c r="B33" s="26" t="str">
        <x:v>DK-NAM45-5K</x:v>
      </x:c>
      <x:c r="C33" s="26" t="str">
        <x:v>-</x:v>
      </x:c>
      <x:c r="D33" s="35" t="n">
        <x:v>26</x:v>
      </x:c>
      <x:c r="E33" s="28" t="str">
        <x:v>Phạm Thế Long</x:v>
      </x:c>
      <x:c r="F33" s="28" t="str"/>
      <x:c r="G33" s="28" t="str"/>
      <x:c r="H33" s="28" t="str"/>
      <x:c r="I33" s="28" t="str"/>
      <x:c r="J33" s="28" t="str">
        <x:v>PVShipyard</x:v>
      </x:c>
      <x:c r="K33" s="28" t="str"/>
      <x:c r="L33" s="33" t="n">
        <x:v>1</x:v>
      </x:c>
      <x:c r="M33" s="33" t="str">
        <x:f>IF(E33="","CHỜ NHẬP","ĐÃ CÓ DỮ LIỆU")</x:f>
        <x:v>ĐÃ CÓ DỮ LIỆU</x:v>
      </x:c>
      <x:c r="N33" s="33" t="str">
        <x:f>IF(AND(B33="",E33=""),"",IF(A33="","THIẾU ID",IF(COUNTIF($A$8:$A$136,A33)&gt;1,"TRÙNG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DK-NAM45-5K-X-27</x:v>
      </x:c>
      <x:c r="B34" s="26" t="str">
        <x:v>DK-NAM45-5K</x:v>
      </x:c>
      <x:c r="C34" s="26" t="str">
        <x:v>-</x:v>
      </x:c>
      <x:c r="D34" s="35" t="n">
        <x:v>27</x:v>
      </x:c>
      <x:c r="E34" s="28" t="str">
        <x:v>Mai Lê Tuấn Anh</x:v>
      </x:c>
      <x:c r="F34" s="28" t="str"/>
      <x:c r="G34" s="28" t="str"/>
      <x:c r="H34" s="28" t="str"/>
      <x:c r="I34" s="28" t="str"/>
      <x:c r="J34" s="28" t="str">
        <x:v>PVShipyard</x:v>
      </x:c>
      <x:c r="K34" s="28" t="str"/>
      <x:c r="L34" s="33" t="n">
        <x:v>1</x:v>
      </x:c>
      <x:c r="M34" s="33" t="str">
        <x:f>IF(E34="","CHỜ NHẬP","ĐÃ CÓ DỮ LIỆU")</x:f>
        <x:v>ĐÃ CÓ DỮ LIỆU</x:v>
      </x:c>
      <x:c r="N34" s="33" t="str">
        <x:f>IF(AND(B34="",E34=""),"",IF(A34="","THIẾU ID",IF(COUNTIF($A$8:$A$136,A34)&gt;1,"TRÙNG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DK-NAM45-5K-X-28</x:v>
      </x:c>
      <x:c r="B35" s="26" t="str">
        <x:v>DK-NAM45-5K</x:v>
      </x:c>
      <x:c r="C35" s="26" t="str">
        <x:v>-</x:v>
      </x:c>
      <x:c r="D35" s="35" t="n">
        <x:v>28</x:v>
      </x:c>
      <x:c r="E35" s="28" t="str">
        <x:v>Thiều Sỹ Tới</x:v>
      </x:c>
      <x:c r="F35" s="28" t="str"/>
      <x:c r="G35" s="28" t="str"/>
      <x:c r="H35" s="28" t="str"/>
      <x:c r="I35" s="28" t="str"/>
      <x:c r="J35" s="28" t="str">
        <x:v>PTSC Thanh Hóa</x:v>
      </x:c>
      <x:c r="K35" s="28" t="str"/>
      <x:c r="L35" s="33" t="n">
        <x:v>1</x:v>
      </x:c>
      <x:c r="M35" s="33" t="str">
        <x:f>IF(E35="","CHỜ NHẬP","ĐÃ CÓ DỮ LIỆU")</x:f>
        <x:v>ĐÃ CÓ DỮ LIỆU</x:v>
      </x:c>
      <x:c r="N35" s="33" t="str">
        <x:f>IF(AND(B35="",E35=""),"",IF(A35="","THIẾU ID",IF(COUNTIF($A$8:$A$136,A35)&gt;1,"TRÙNG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  <x:v>DK-NAM45-5K-X-29</x:v>
      </x:c>
      <x:c r="B36" s="26" t="str">
        <x:v>DK-NAM45-5K</x:v>
      </x:c>
      <x:c r="C36" s="26" t="str">
        <x:v>-</x:v>
      </x:c>
      <x:c r="D36" s="35" t="n">
        <x:v>29</x:v>
      </x:c>
      <x:c r="E36" s="28" t="str">
        <x:v>Nguyễn Quốc Hiếu</x:v>
      </x:c>
      <x:c r="F36" s="28" t="str"/>
      <x:c r="G36" s="28" t="str"/>
      <x:c r="H36" s="28" t="str"/>
      <x:c r="I36" s="28" t="str"/>
      <x:c r="J36" s="28" t="str">
        <x:v>PTSC Marine</x:v>
      </x:c>
      <x:c r="K36" s="28" t="str"/>
      <x:c r="L36" s="33" t="n">
        <x:v>1</x:v>
      </x:c>
      <x:c r="M36" s="33" t="str">
        <x:f>IF(E36="","CHỜ NHẬP","ĐÃ CÓ DỮ LIỆU")</x:f>
        <x:v>ĐÃ CÓ DỮ LIỆU</x:v>
      </x:c>
      <x:c r="N36" s="33" t="str">
        <x:f>IF(AND(B36="",E36=""),"",IF(A36="","THIẾU ID",IF(COUNTIF($A$8:$A$136,A36)&gt;1,"TRÙNG ID",IF(COUNTIF(HANG_MUC!$A$6:$A$50,B36)=0,"SAI HẠNG MỤC","OK"))))</x:f>
        <x:v>OK</x:v>
      </x:c>
    </x:row>
    <x:row r="37">
      <x:c r="A37" s="33" t="str">
        <x:f>IF(OR(B37="",D37=""),"",B37&amp;"-"&amp;IF(OR(C37="",C37="-"),"X",UPPER(C37))&amp;"-"&amp;TEXT(D37,"00"))</x:f>
        <x:v>DK-NAM45-10K-X-01</x:v>
      </x:c>
      <x:c r="B37" s="26" t="str">
        <x:v>DK-NAM45-10K</x:v>
      </x:c>
      <x:c r="C37" s="26" t="str">
        <x:v>-</x:v>
      </x:c>
      <x:c r="D37" s="35" t="n">
        <x:v>1</x:v>
      </x:c>
      <x:c r="E37" s="28" t="str">
        <x:v>Hoàng Hải Đăng</x:v>
      </x:c>
      <x:c r="F37" s="28" t="str"/>
      <x:c r="G37" s="28" t="str"/>
      <x:c r="H37" s="28" t="str"/>
      <x:c r="I37" s="28" t="str"/>
      <x:c r="J37" s="28" t="str">
        <x:v>PVSecurity</x:v>
      </x:c>
      <x:c r="K37" s="28" t="str"/>
      <x:c r="L37" s="33" t="n">
        <x:v>2</x:v>
      </x:c>
      <x:c r="M37" s="33" t="str">
        <x:f>IF(E37="","CHỜ NHẬP","ĐÃ CÓ DỮ LIỆU")</x:f>
        <x:v>ĐÃ CÓ DỮ LIỆU</x:v>
      </x:c>
      <x:c r="N37" s="33" t="str">
        <x:f>IF(AND(B37="",E37=""),"",IF(A37="","THIẾU ID",IF(COUNTIF($A$8:$A$136,A37)&gt;1,"TRÙNG ID",IF(COUNTIF(HANG_MUC!$A$6:$A$50,B37)=0,"SAI HẠNG MỤC","OK"))))</x:f>
        <x:v>OK</x:v>
      </x:c>
    </x:row>
    <x:row r="38">
      <x:c r="A38" s="33" t="str">
        <x:f>IF(OR(B38="",D38=""),"",B38&amp;"-"&amp;IF(OR(C38="",C38="-"),"X",UPPER(C38))&amp;"-"&amp;TEXT(D38,"00"))</x:f>
        <x:v>DK-NAM45-10K-X-02</x:v>
      </x:c>
      <x:c r="B38" s="26" t="str">
        <x:v>DK-NAM45-10K</x:v>
      </x:c>
      <x:c r="C38" s="26" t="str">
        <x:v>-</x:v>
      </x:c>
      <x:c r="D38" s="35" t="n">
        <x:v>2</x:v>
      </x:c>
      <x:c r="E38" s="28" t="str">
        <x:v>Nguyễn Minh Hoàng</x:v>
      </x:c>
      <x:c r="F38" s="28" t="str"/>
      <x:c r="G38" s="28" t="str"/>
      <x:c r="H38" s="28" t="str"/>
      <x:c r="I38" s="28" t="str"/>
      <x:c r="J38" s="28" t="str">
        <x:v>PVSecurity</x:v>
      </x:c>
      <x:c r="K38" s="28" t="str"/>
      <x:c r="L38" s="33" t="n">
        <x:v>2</x:v>
      </x:c>
      <x:c r="M38" s="33" t="str">
        <x:f>IF(E38="","CHỜ NHẬP","ĐÃ CÓ DỮ LIỆU")</x:f>
        <x:v>ĐÃ CÓ DỮ LIỆU</x:v>
      </x:c>
      <x:c r="N38" s="33" t="str">
        <x:f>IF(AND(B38="",E38=""),"",IF(A38="","THIẾU ID",IF(COUNTIF($A$8:$A$136,A38)&gt;1,"TRÙNG ID",IF(COUNTIF(HANG_MUC!$A$6:$A$50,B38)=0,"SAI HẠNG MỤC","OK"))))</x:f>
        <x:v>OK</x:v>
      </x:c>
    </x:row>
    <x:row r="39">
      <x:c r="A39" s="33" t="str">
        <x:f>IF(OR(B39="",D39=""),"",B39&amp;"-"&amp;IF(OR(C39="",C39="-"),"X",UPPER(C39))&amp;"-"&amp;TEXT(D39,"00"))</x:f>
        <x:v>DK-NAM45-10K-X-03</x:v>
      </x:c>
      <x:c r="B39" s="26" t="str">
        <x:v>DK-NAM45-10K</x:v>
      </x:c>
      <x:c r="C39" s="26" t="str">
        <x:v>-</x:v>
      </x:c>
      <x:c r="D39" s="35" t="n">
        <x:v>3</x:v>
      </x:c>
      <x:c r="E39" s="28" t="str">
        <x:v>Nguyễn Thanh Toàn</x:v>
      </x:c>
      <x:c r="F39" s="28" t="str"/>
      <x:c r="G39" s="28" t="str"/>
      <x:c r="H39" s="28" t="str"/>
      <x:c r="I39" s="28" t="str"/>
      <x:c r="J39" s="28" t="str">
        <x:v>PVSecurity</x:v>
      </x:c>
      <x:c r="K39" s="28" t="str"/>
      <x:c r="L39" s="33" t="n">
        <x:v>2</x:v>
      </x:c>
      <x:c r="M39" s="33" t="str">
        <x:f>IF(E39="","CHỜ NHẬP","ĐÃ CÓ DỮ LIỆU")</x:f>
        <x:v>ĐÃ CÓ DỮ LIỆU</x:v>
      </x:c>
      <x:c r="N39" s="33" t="str">
        <x:f>IF(AND(B39="",E39=""),"",IF(A39="","THIẾU ID",IF(COUNTIF($A$8:$A$136,A39)&gt;1,"TRÙNG ID",IF(COUNTIF(HANG_MUC!$A$6:$A$50,B39)=0,"SAI HẠNG MỤC","OK"))))</x:f>
        <x:v>OK</x:v>
      </x:c>
    </x:row>
    <x:row r="40">
      <x:c r="A40" s="33" t="str">
        <x:f>IF(OR(B40="",D40=""),"",B40&amp;"-"&amp;IF(OR(C40="",C40="-"),"X",UPPER(C40))&amp;"-"&amp;TEXT(D40,"00"))</x:f>
        <x:v>DK-NAM45-10K-X-04</x:v>
      </x:c>
      <x:c r="B40" s="26" t="str">
        <x:v>DK-NAM45-10K</x:v>
      </x:c>
      <x:c r="C40" s="26" t="str">
        <x:v>-</x:v>
      </x:c>
      <x:c r="D40" s="35" t="n">
        <x:v>4</x:v>
      </x:c>
      <x:c r="E40" s="28" t="str">
        <x:v>Hà Văn Tài</x:v>
      </x:c>
      <x:c r="F40" s="28" t="str"/>
      <x:c r="G40" s="28" t="str"/>
      <x:c r="H40" s="28" t="str"/>
      <x:c r="I40" s="28" t="str"/>
      <x:c r="J40" s="28" t="str">
        <x:v>PVSecurity</x:v>
      </x:c>
      <x:c r="K40" s="28" t="str"/>
      <x:c r="L40" s="33" t="n">
        <x:v>2</x:v>
      </x:c>
      <x:c r="M40" s="33" t="str">
        <x:f>IF(E40="","CHỜ NHẬP","ĐÃ CÓ DỮ LIỆU")</x:f>
        <x:v>ĐÃ CÓ DỮ LIỆU</x:v>
      </x:c>
      <x:c r="N40" s="33" t="str">
        <x:f>IF(AND(B40="",E40=""),"",IF(A40="","THIẾU ID",IF(COUNTIF($A$8:$A$136,A40)&gt;1,"TRÙNG ID",IF(COUNTIF(HANG_MUC!$A$6:$A$50,B40)=0,"SAI HẠNG MỤC","OK"))))</x:f>
        <x:v>OK</x:v>
      </x:c>
    </x:row>
    <x:row r="41">
      <x:c r="A41" s="33" t="str">
        <x:f>IF(OR(B41="",D41=""),"",B41&amp;"-"&amp;IF(OR(C41="",C41="-"),"X",UPPER(C41))&amp;"-"&amp;TEXT(D41,"00"))</x:f>
        <x:v>DK-NAM45-10K-X-05</x:v>
      </x:c>
      <x:c r="B41" s="26" t="str">
        <x:v>DK-NAM45-10K</x:v>
      </x:c>
      <x:c r="C41" s="26" t="str">
        <x:v>-</x:v>
      </x:c>
      <x:c r="D41" s="35" t="n">
        <x:v>5</x:v>
      </x:c>
      <x:c r="E41" s="28" t="str">
        <x:v>Trần Nam Phương</x:v>
      </x:c>
      <x:c r="F41" s="28" t="str"/>
      <x:c r="G41" s="28" t="str"/>
      <x:c r="H41" s="28" t="str"/>
      <x:c r="I41" s="28" t="str"/>
      <x:c r="J41" s="28" t="str">
        <x:v>PTSC HQ</x:v>
      </x:c>
      <x:c r="K41" s="28" t="str"/>
      <x:c r="L41" s="33" t="n">
        <x:v>2</x:v>
      </x:c>
      <x:c r="M41" s="33" t="str">
        <x:f>IF(E41="","CHỜ NHẬP","ĐÃ CÓ DỮ LIỆU")</x:f>
        <x:v>ĐÃ CÓ DỮ LIỆU</x:v>
      </x:c>
      <x:c r="N41" s="33" t="str">
        <x:f>IF(AND(B41="",E41=""),"",IF(A41="","THIẾU ID",IF(COUNTIF($A$8:$A$136,A41)&gt;1,"TRÙNG ID",IF(COUNTIF(HANG_MUC!$A$6:$A$50,B41)=0,"SAI HẠNG MỤC","OK"))))</x:f>
        <x:v>OK</x:v>
      </x:c>
    </x:row>
    <x:row r="42">
      <x:c r="A42" s="33" t="str">
        <x:f>IF(OR(B42="",D42=""),"",B42&amp;"-"&amp;IF(OR(C42="",C42="-"),"X",UPPER(C42))&amp;"-"&amp;TEXT(D42,"00"))</x:f>
        <x:v>DK-NAM45-10K-X-06</x:v>
      </x:c>
      <x:c r="B42" s="26" t="str">
        <x:v>DK-NAM45-10K</x:v>
      </x:c>
      <x:c r="C42" s="26" t="str">
        <x:v>-</x:v>
      </x:c>
      <x:c r="D42" s="35" t="n">
        <x:v>6</x:v>
      </x:c>
      <x:c r="E42" s="28" t="str">
        <x:v>Phan Hoàng Hưng</x:v>
      </x:c>
      <x:c r="F42" s="28" t="str"/>
      <x:c r="G42" s="28" t="str"/>
      <x:c r="H42" s="28" t="str"/>
      <x:c r="I42" s="28" t="str"/>
      <x:c r="J42" s="28" t="str">
        <x:v>PTSC HQ</x:v>
      </x:c>
      <x:c r="K42" s="28" t="str"/>
      <x:c r="L42" s="33" t="n">
        <x:v>2</x:v>
      </x:c>
      <x:c r="M42" s="33" t="str">
        <x:f>IF(E42="","CHỜ NHẬP","ĐÃ CÓ DỮ LIỆU")</x:f>
        <x:v>ĐÃ CÓ DỮ LIỆU</x:v>
      </x:c>
      <x:c r="N42" s="33" t="str">
        <x:f>IF(AND(B42="",E42=""),"",IF(A42="","THIẾU ID",IF(COUNTIF($A$8:$A$136,A42)&gt;1,"TRÙNG ID",IF(COUNTIF(HANG_MUC!$A$6:$A$50,B42)=0,"SAI HẠNG MỤC","OK"))))</x:f>
        <x:v>OK</x:v>
      </x:c>
    </x:row>
    <x:row r="43">
      <x:c r="A43" s="33" t="str">
        <x:f>IF(OR(B43="",D43=""),"",B43&amp;"-"&amp;IF(OR(C43="",C43="-"),"X",UPPER(C43))&amp;"-"&amp;TEXT(D43,"00"))</x:f>
        <x:v>DK-NAM45-10K-X-07</x:v>
      </x:c>
      <x:c r="B43" s="26" t="str">
        <x:v>DK-NAM45-10K</x:v>
      </x:c>
      <x:c r="C43" s="26" t="str">
        <x:v>-</x:v>
      </x:c>
      <x:c r="D43" s="35" t="n">
        <x:v>7</x:v>
      </x:c>
      <x:c r="E43" s="28" t="str">
        <x:v>Lê Anh Tuấn</x:v>
      </x:c>
      <x:c r="F43" s="28" t="str"/>
      <x:c r="G43" s="28" t="str"/>
      <x:c r="H43" s="28" t="str"/>
      <x:c r="I43" s="28" t="str"/>
      <x:c r="J43" s="28" t="str">
        <x:v>PTSC HQ</x:v>
      </x:c>
      <x:c r="K43" s="28" t="str"/>
      <x:c r="L43" s="33" t="n">
        <x:v>2</x:v>
      </x:c>
      <x:c r="M43" s="33" t="str">
        <x:f>IF(E43="","CHỜ NHẬP","ĐÃ CÓ DỮ LIỆU")</x:f>
        <x:v>ĐÃ CÓ DỮ LIỆU</x:v>
      </x:c>
      <x:c r="N43" s="33" t="str">
        <x:f>IF(AND(B43="",E43=""),"",IF(A43="","THIẾU ID",IF(COUNTIF($A$8:$A$136,A43)&gt;1,"TRÙNG ID",IF(COUNTIF(HANG_MUC!$A$6:$A$50,B43)=0,"SAI HẠNG MỤC","OK"))))</x:f>
        <x:v>OK</x:v>
      </x:c>
    </x:row>
    <x:row r="44">
      <x:c r="A44" s="33" t="str">
        <x:f>IF(OR(B44="",D44=""),"",B44&amp;"-"&amp;IF(OR(C44="",C44="-"),"X",UPPER(C44))&amp;"-"&amp;TEXT(D44,"00"))</x:f>
        <x:v>DK-NAM45-10K-X-08</x:v>
      </x:c>
      <x:c r="B44" s="26" t="str">
        <x:v>DK-NAM45-10K</x:v>
      </x:c>
      <x:c r="C44" s="26" t="str">
        <x:v>-</x:v>
      </x:c>
      <x:c r="D44" s="35" t="n">
        <x:v>8</x:v>
      </x:c>
      <x:c r="E44" s="28" t="str">
        <x:v>Nguyễn Quốc Vũ</x:v>
      </x:c>
      <x:c r="F44" s="28" t="str"/>
      <x:c r="G44" s="28" t="str"/>
      <x:c r="H44" s="28" t="str"/>
      <x:c r="I44" s="28" t="str"/>
      <x:c r="J44" s="28" t="str">
        <x:v>PTSC HQ</x:v>
      </x:c>
      <x:c r="K44" s="28" t="str"/>
      <x:c r="L44" s="33" t="n">
        <x:v>2</x:v>
      </x:c>
      <x:c r="M44" s="33" t="str">
        <x:f>IF(E44="","CHỜ NHẬP","ĐÃ CÓ DỮ LIỆU")</x:f>
        <x:v>ĐÃ CÓ DỮ LIỆU</x:v>
      </x:c>
      <x:c r="N44" s="33" t="str">
        <x:f>IF(AND(B44="",E44=""),"",IF(A44="","THIẾU ID",IF(COUNTIF($A$8:$A$136,A44)&gt;1,"TRÙNG ID",IF(COUNTIF(HANG_MUC!$A$6:$A$50,B44)=0,"SAI HẠNG MỤC","OK"))))</x:f>
        <x:v>OK</x:v>
      </x:c>
    </x:row>
    <x:row r="45">
      <x:c r="A45" s="33" t="str">
        <x:f>IF(OR(B45="",D45=""),"",B45&amp;"-"&amp;IF(OR(C45="",C45="-"),"X",UPPER(C45))&amp;"-"&amp;TEXT(D45,"00"))</x:f>
        <x:v>DK-NAM45-10K-X-09</x:v>
      </x:c>
      <x:c r="B45" s="26" t="str">
        <x:v>DK-NAM45-10K</x:v>
      </x:c>
      <x:c r="C45" s="26" t="str">
        <x:v>-</x:v>
      </x:c>
      <x:c r="D45" s="35" t="n">
        <x:v>9</x:v>
      </x:c>
      <x:c r="E45" s="28" t="str">
        <x:v>Đào Việt Tú</x:v>
      </x:c>
      <x:c r="F45" s="28" t="str"/>
      <x:c r="G45" s="28" t="str"/>
      <x:c r="H45" s="28" t="str"/>
      <x:c r="I45" s="28" t="str"/>
      <x:c r="J45" s="28" t="str">
        <x:v>PTSC M&amp;C</x:v>
      </x:c>
      <x:c r="K45" s="28" t="str"/>
      <x:c r="L45" s="33" t="n">
        <x:v>2</x:v>
      </x:c>
      <x:c r="M45" s="33" t="str">
        <x:f>IF(E45="","CHỜ NHẬP","ĐÃ CÓ DỮ LIỆU")</x:f>
        <x:v>ĐÃ CÓ DỮ LIỆU</x:v>
      </x:c>
      <x:c r="N45" s="33" t="str">
        <x:f>IF(AND(B45="",E45=""),"",IF(A45="","THIẾU ID",IF(COUNTIF($A$8:$A$136,A45)&gt;1,"TRÙNG ID",IF(COUNTIF(HANG_MUC!$A$6:$A$50,B45)=0,"SAI HẠNG MỤC","OK"))))</x:f>
        <x:v>OK</x:v>
      </x:c>
    </x:row>
    <x:row r="46">
      <x:c r="A46" s="33" t="str">
        <x:f>IF(OR(B46="",D46=""),"",B46&amp;"-"&amp;IF(OR(C46="",C46="-"),"X",UPPER(C46))&amp;"-"&amp;TEXT(D46,"00"))</x:f>
        <x:v>DK-NAM45-10K-X-10</x:v>
      </x:c>
      <x:c r="B46" s="26" t="str">
        <x:v>DK-NAM45-10K</x:v>
      </x:c>
      <x:c r="C46" s="26" t="str">
        <x:v>-</x:v>
      </x:c>
      <x:c r="D46" s="35" t="n">
        <x:v>10</x:v>
      </x:c>
      <x:c r="E46" s="28" t="str">
        <x:v>Nguyễn Văn Bằng</x:v>
      </x:c>
      <x:c r="F46" s="28" t="str"/>
      <x:c r="G46" s="28" t="str"/>
      <x:c r="H46" s="28" t="str"/>
      <x:c r="I46" s="28" t="str"/>
      <x:c r="J46" s="28" t="str">
        <x:v>PTSC M&amp;C</x:v>
      </x:c>
      <x:c r="K46" s="28" t="str"/>
      <x:c r="L46" s="33" t="n">
        <x:v>2</x:v>
      </x:c>
      <x:c r="M46" s="33" t="str">
        <x:f>IF(E46="","CHỜ NHẬP","ĐÃ CÓ DỮ LIỆU")</x:f>
        <x:v>ĐÃ CÓ DỮ LIỆU</x:v>
      </x:c>
      <x:c r="N46" s="33" t="str">
        <x:f>IF(AND(B46="",E46=""),"",IF(A46="","THIẾU ID",IF(COUNTIF($A$8:$A$136,A46)&gt;1,"TRÙNG ID",IF(COUNTIF(HANG_MUC!$A$6:$A$50,B46)=0,"SAI HẠNG MỤC","OK"))))</x:f>
        <x:v>OK</x:v>
      </x:c>
    </x:row>
    <x:row r="47">
      <x:c r="A47" s="33" t="str">
        <x:f>IF(OR(B47="",D47=""),"",B47&amp;"-"&amp;IF(OR(C47="",C47="-"),"X",UPPER(C47))&amp;"-"&amp;TEXT(D47,"00"))</x:f>
        <x:v>DK-NAM45-10K-X-11</x:v>
      </x:c>
      <x:c r="B47" s="26" t="str">
        <x:v>DK-NAM45-10K</x:v>
      </x:c>
      <x:c r="C47" s="26" t="str">
        <x:v>-</x:v>
      </x:c>
      <x:c r="D47" s="35" t="n">
        <x:v>11</x:v>
      </x:c>
      <x:c r="E47" s="28" t="str">
        <x:v>Nguyễn Đình Tri</x:v>
      </x:c>
      <x:c r="F47" s="28" t="str"/>
      <x:c r="G47" s="28" t="str"/>
      <x:c r="H47" s="28" t="str"/>
      <x:c r="I47" s="28" t="str"/>
      <x:c r="J47" s="28" t="str">
        <x:v>PTSC M&amp;C</x:v>
      </x:c>
      <x:c r="K47" s="28" t="str"/>
      <x:c r="L47" s="33" t="n">
        <x:v>2</x:v>
      </x:c>
      <x:c r="M47" s="33" t="str">
        <x:f>IF(E47="","CHỜ NHẬP","ĐÃ CÓ DỮ LIỆU")</x:f>
        <x:v>ĐÃ CÓ DỮ LIỆU</x:v>
      </x:c>
      <x:c r="N47" s="33" t="str">
        <x:f>IF(AND(B47="",E47=""),"",IF(A47="","THIẾU ID",IF(COUNTIF($A$8:$A$136,A47)&gt;1,"TRÙNG ID",IF(COUNTIF(HANG_MUC!$A$6:$A$50,B47)=0,"SAI HẠNG MỤC","OK"))))</x:f>
        <x:v>OK</x:v>
      </x:c>
    </x:row>
    <x:row r="48">
      <x:c r="A48" s="33" t="str">
        <x:f>IF(OR(B48="",D48=""),"",B48&amp;"-"&amp;IF(OR(C48="",C48="-"),"X",UPPER(C48))&amp;"-"&amp;TEXT(D48,"00"))</x:f>
        <x:v>DK-NAM45-10K-X-12</x:v>
      </x:c>
      <x:c r="B48" s="26" t="str">
        <x:v>DK-NAM45-10K</x:v>
      </x:c>
      <x:c r="C48" s="26" t="str">
        <x:v>-</x:v>
      </x:c>
      <x:c r="D48" s="35" t="n">
        <x:v>12</x:v>
      </x:c>
      <x:c r="E48" s="28" t="str">
        <x:v>Vũ Hồng Khánh</x:v>
      </x:c>
      <x:c r="F48" s="28" t="str"/>
      <x:c r="G48" s="28" t="str"/>
      <x:c r="H48" s="28" t="str"/>
      <x:c r="I48" s="28" t="str"/>
      <x:c r="J48" s="28" t="str">
        <x:v>PPS</x:v>
      </x:c>
      <x:c r="K48" s="28" t="str"/>
      <x:c r="L48" s="33" t="n">
        <x:v>2</x:v>
      </x:c>
      <x:c r="M48" s="33" t="str">
        <x:f>IF(E48="","CHỜ NHẬP","ĐÃ CÓ DỮ LIỆU")</x:f>
        <x:v>ĐÃ CÓ DỮ LIỆU</x:v>
      </x:c>
      <x:c r="N48" s="33" t="str">
        <x:f>IF(AND(B48="",E48=""),"",IF(A48="","THIẾU ID",IF(COUNTIF($A$8:$A$136,A48)&gt;1,"TRÙNG ID",IF(COUNTIF(HANG_MUC!$A$6:$A$50,B48)=0,"SAI HẠNG MỤC","OK"))))</x:f>
        <x:v>OK</x:v>
      </x:c>
    </x:row>
    <x:row r="49">
      <x:c r="A49" s="33" t="str">
        <x:f>IF(OR(B49="",D49=""),"",B49&amp;"-"&amp;IF(OR(C49="",C49="-"),"X",UPPER(C49))&amp;"-"&amp;TEXT(D49,"00"))</x:f>
        <x:v>DK-NAM45-10K-X-13</x:v>
      </x:c>
      <x:c r="B49" s="26" t="str">
        <x:v>DK-NAM45-10K</x:v>
      </x:c>
      <x:c r="C49" s="26" t="str">
        <x:v>-</x:v>
      </x:c>
      <x:c r="D49" s="35" t="n">
        <x:v>13</x:v>
      </x:c>
      <x:c r="E49" s="28" t="str">
        <x:v>Đỗ Tuấn Anh</x:v>
      </x:c>
      <x:c r="F49" s="28" t="str"/>
      <x:c r="G49" s="28" t="str"/>
      <x:c r="H49" s="28" t="str"/>
      <x:c r="I49" s="28" t="str"/>
      <x:c r="J49" s="28" t="str">
        <x:v>PPS</x:v>
      </x:c>
      <x:c r="K49" s="28" t="str"/>
      <x:c r="L49" s="33" t="n">
        <x:v>2</x:v>
      </x:c>
      <x:c r="M49" s="33" t="str">
        <x:f>IF(E49="","CHỜ NHẬP","ĐÃ CÓ DỮ LIỆU")</x:f>
        <x:v>ĐÃ CÓ DỮ LIỆU</x:v>
      </x:c>
      <x:c r="N49" s="33" t="str">
        <x:f>IF(AND(B49="",E49=""),"",IF(A49="","THIẾU ID",IF(COUNTIF($A$8:$A$136,A49)&gt;1,"TRÙNG ID",IF(COUNTIF(HANG_MUC!$A$6:$A$50,B49)=0,"SAI HẠNG MỤC","OK"))))</x:f>
        <x:v>OK</x:v>
      </x:c>
    </x:row>
    <x:row r="50">
      <x:c r="A50" s="33" t="str">
        <x:f>IF(OR(B50="",D50=""),"",B50&amp;"-"&amp;IF(OR(C50="",C50="-"),"X",UPPER(C50))&amp;"-"&amp;TEXT(D50,"00"))</x:f>
        <x:v>DK-NAM45-10K-X-14</x:v>
      </x:c>
      <x:c r="B50" s="26" t="str">
        <x:v>DK-NAM45-10K</x:v>
      </x:c>
      <x:c r="C50" s="26" t="str">
        <x:v>-</x:v>
      </x:c>
      <x:c r="D50" s="35" t="n">
        <x:v>14</x:v>
      </x:c>
      <x:c r="E50" s="28" t="str">
        <x:v>Đoàn Tấn Phát</x:v>
      </x:c>
      <x:c r="F50" s="28" t="str"/>
      <x:c r="G50" s="28" t="str"/>
      <x:c r="H50" s="28" t="str"/>
      <x:c r="I50" s="28" t="str"/>
      <x:c r="J50" s="28" t="str">
        <x:v>PTSC Quảng Ngãi</x:v>
      </x:c>
      <x:c r="K50" s="28" t="str"/>
      <x:c r="L50" s="33" t="n">
        <x:v>2</x:v>
      </x:c>
      <x:c r="M50" s="33" t="str">
        <x:f>IF(E50="","CHỜ NHẬP","ĐÃ CÓ DỮ LIỆU")</x:f>
        <x:v>ĐÃ CÓ DỮ LIỆU</x:v>
      </x:c>
      <x:c r="N50" s="33" t="str">
        <x:f>IF(AND(B50="",E50=""),"",IF(A50="","THIẾU ID",IF(COUNTIF($A$8:$A$136,A50)&gt;1,"TRÙNG ID",IF(COUNTIF(HANG_MUC!$A$6:$A$50,B50)=0,"SAI HẠNG MỤC","OK"))))</x:f>
        <x:v>OK</x:v>
      </x:c>
    </x:row>
    <x:row r="51">
      <x:c r="A51" s="33" t="str">
        <x:f>IF(OR(B51="",D51=""),"",B51&amp;"-"&amp;IF(OR(C51="",C51="-"),"X",UPPER(C51))&amp;"-"&amp;TEXT(D51,"00"))</x:f>
        <x:v>DK-NAM45-10K-X-15</x:v>
      </x:c>
      <x:c r="B51" s="26" t="str">
        <x:v>DK-NAM45-10K</x:v>
      </x:c>
      <x:c r="C51" s="26" t="str">
        <x:v>-</x:v>
      </x:c>
      <x:c r="D51" s="35" t="n">
        <x:v>15</x:v>
      </x:c>
      <x:c r="E51" s="28" t="str">
        <x:v>Vũ Văn Tiến</x:v>
      </x:c>
      <x:c r="F51" s="28" t="str"/>
      <x:c r="G51" s="28" t="str"/>
      <x:c r="H51" s="28" t="str"/>
      <x:c r="I51" s="28" t="str"/>
      <x:c r="J51" s="28" t="str">
        <x:v>PTSC SAO MAI</x:v>
      </x:c>
      <x:c r="K51" s="28" t="str"/>
      <x:c r="L51" s="33" t="n">
        <x:v>2</x:v>
      </x:c>
      <x:c r="M51" s="33" t="str">
        <x:f>IF(E51="","CHỜ NHẬP","ĐÃ CÓ DỮ LIỆU")</x:f>
        <x:v>ĐÃ CÓ DỮ LIỆU</x:v>
      </x:c>
      <x:c r="N51" s="33" t="str">
        <x:f>IF(AND(B51="",E51=""),"",IF(A51="","THIẾU ID",IF(COUNTIF($A$8:$A$136,A51)&gt;1,"TRÙNG ID",IF(COUNTIF(HANG_MUC!$A$6:$A$50,B51)=0,"SAI HẠNG MỤC","OK"))))</x:f>
        <x:v>OK</x:v>
      </x:c>
    </x:row>
    <x:row r="52">
      <x:c r="A52" s="33" t="str">
        <x:f>IF(OR(B52="",D52=""),"",B52&amp;"-"&amp;IF(OR(C52="",C52="-"),"X",UPPER(C52))&amp;"-"&amp;TEXT(D52,"00"))</x:f>
        <x:v>DK-NAM45-10K-X-16</x:v>
      </x:c>
      <x:c r="B52" s="26" t="str">
        <x:v>DK-NAM45-10K</x:v>
      </x:c>
      <x:c r="C52" s="26" t="str">
        <x:v>-</x:v>
      </x:c>
      <x:c r="D52" s="35" t="n">
        <x:v>16</x:v>
      </x:c>
      <x:c r="E52" s="28" t="str">
        <x:v>Lê Văn Dũng</x:v>
      </x:c>
      <x:c r="F52" s="28" t="str"/>
      <x:c r="G52" s="28" t="str"/>
      <x:c r="H52" s="28" t="str"/>
      <x:c r="I52" s="28" t="str"/>
      <x:c r="J52" s="28" t="str">
        <x:v>PTSC Miền Trung</x:v>
      </x:c>
      <x:c r="K52" s="28" t="str"/>
      <x:c r="L52" s="33" t="n">
        <x:v>2</x:v>
      </x:c>
      <x:c r="M52" s="33" t="str">
        <x:f>IF(E52="","CHỜ NHẬP","ĐÃ CÓ DỮ LIỆU")</x:f>
        <x:v>ĐÃ CÓ DỮ LIỆU</x:v>
      </x:c>
      <x:c r="N52" s="33" t="str">
        <x:f>IF(AND(B52="",E52=""),"",IF(A52="","THIẾU ID",IF(COUNTIF($A$8:$A$136,A52)&gt;1,"TRÙNG ID",IF(COUNTIF(HANG_MUC!$A$6:$A$50,B52)=0,"SAI HẠNG MỤC","OK"))))</x:f>
        <x:v>OK</x:v>
      </x:c>
    </x:row>
    <x:row r="53">
      <x:c r="A53" s="33" t="str">
        <x:f>IF(OR(B53="",D53=""),"",B53&amp;"-"&amp;IF(OR(C53="",C53="-"),"X",UPPER(C53))&amp;"-"&amp;TEXT(D53,"00"))</x:f>
        <x:v>DK-NAM45-10K-X-17</x:v>
      </x:c>
      <x:c r="B53" s="26" t="str">
        <x:v>DK-NAM45-10K</x:v>
      </x:c>
      <x:c r="C53" s="26" t="str">
        <x:v>-</x:v>
      </x:c>
      <x:c r="D53" s="35" t="n">
        <x:v>17</x:v>
      </x:c>
      <x:c r="E53" s="28" t="str">
        <x:v>Đặng Ngọc Tân</x:v>
      </x:c>
      <x:c r="F53" s="28" t="str"/>
      <x:c r="G53" s="28" t="str"/>
      <x:c r="H53" s="28" t="str"/>
      <x:c r="I53" s="28" t="str"/>
      <x:c r="J53" s="28" t="str">
        <x:v>PTSC Miền Trung</x:v>
      </x:c>
      <x:c r="K53" s="28" t="str"/>
      <x:c r="L53" s="33" t="n">
        <x:v>2</x:v>
      </x:c>
      <x:c r="M53" s="33" t="str">
        <x:f>IF(E53="","CHỜ NHẬP","ĐÃ CÓ DỮ LIỆU")</x:f>
        <x:v>ĐÃ CÓ DỮ LIỆU</x:v>
      </x:c>
      <x:c r="N53" s="33" t="str">
        <x:f>IF(AND(B53="",E53=""),"",IF(A53="","THIẾU ID",IF(COUNTIF($A$8:$A$136,A53)&gt;1,"TRÙNG ID",IF(COUNTIF(HANG_MUC!$A$6:$A$50,B53)=0,"SAI HẠNG MỤC","OK"))))</x:f>
        <x:v>OK</x:v>
      </x:c>
    </x:row>
    <x:row r="54">
      <x:c r="A54" s="33" t="str">
        <x:f>IF(OR(B54="",D54=""),"",B54&amp;"-"&amp;IF(OR(C54="",C54="-"),"X",UPPER(C54))&amp;"-"&amp;TEXT(D54,"00"))</x:f>
        <x:v>DK-NAM45-10K-X-18</x:v>
      </x:c>
      <x:c r="B54" s="26" t="str">
        <x:v>DK-NAM45-10K</x:v>
      </x:c>
      <x:c r="C54" s="26" t="str">
        <x:v>-</x:v>
      </x:c>
      <x:c r="D54" s="35" t="n">
        <x:v>18</x:v>
      </x:c>
      <x:c r="E54" s="28" t="str">
        <x:v>Nguyễn Việt Cường</x:v>
      </x:c>
      <x:c r="F54" s="28" t="str"/>
      <x:c r="G54" s="28" t="str"/>
      <x:c r="H54" s="28" t="str"/>
      <x:c r="I54" s="28" t="str"/>
      <x:c r="J54" s="28" t="str">
        <x:v>PTSC Miền Trung</x:v>
      </x:c>
      <x:c r="K54" s="28" t="str"/>
      <x:c r="L54" s="33" t="n">
        <x:v>2</x:v>
      </x:c>
      <x:c r="M54" s="33" t="str">
        <x:f>IF(E54="","CHỜ NHẬP","ĐÃ CÓ DỮ LIỆU")</x:f>
        <x:v>ĐÃ CÓ DỮ LIỆU</x:v>
      </x:c>
      <x:c r="N54" s="33" t="str">
        <x:f>IF(AND(B54="",E54=""),"",IF(A54="","THIẾU ID",IF(COUNTIF($A$8:$A$136,A54)&gt;1,"TRÙNG ID",IF(COUNTIF(HANG_MUC!$A$6:$A$50,B54)=0,"SAI HẠNG MỤC","OK"))))</x:f>
        <x:v>OK</x:v>
      </x:c>
    </x:row>
    <x:row r="55">
      <x:c r="A55" s="33" t="str">
        <x:f>IF(OR(B55="",D55=""),"",B55&amp;"-"&amp;IF(OR(C55="",C55="-"),"X",UPPER(C55))&amp;"-"&amp;TEXT(D55,"00"))</x:f>
        <x:v>DK-NAM45-10K-X-19</x:v>
      </x:c>
      <x:c r="B55" s="26" t="str">
        <x:v>DK-NAM45-10K</x:v>
      </x:c>
      <x:c r="C55" s="26" t="str">
        <x:v>-</x:v>
      </x:c>
      <x:c r="D55" s="35" t="n">
        <x:v>19</x:v>
      </x:c>
      <x:c r="E55" s="28" t="str">
        <x:v>Phan Thế Nghĩa</x:v>
      </x:c>
      <x:c r="F55" s="28" t="str"/>
      <x:c r="G55" s="28" t="str"/>
      <x:c r="H55" s="28" t="str"/>
      <x:c r="I55" s="28" t="str"/>
      <x:c r="J55" s="28" t="str">
        <x:v>PVShipyard</x:v>
      </x:c>
      <x:c r="K55" s="28" t="str"/>
      <x:c r="L55" s="33" t="n">
        <x:v>2</x:v>
      </x:c>
      <x:c r="M55" s="33" t="str">
        <x:f>IF(E55="","CHỜ NHẬP","ĐÃ CÓ DỮ LIỆU")</x:f>
        <x:v>ĐÃ CÓ DỮ LIỆU</x:v>
      </x:c>
      <x:c r="N55" s="33" t="str">
        <x:f>IF(AND(B55="",E55=""),"",IF(A55="","THIẾU ID",IF(COUNTIF($A$8:$A$136,A55)&gt;1,"TRÙNG ID",IF(COUNTIF(HANG_MUC!$A$6:$A$50,B55)=0,"SAI HẠNG MỤC","OK"))))</x:f>
        <x:v>OK</x:v>
      </x:c>
    </x:row>
    <x:row r="56">
      <x:c r="A56" s="33" t="str">
        <x:f>IF(OR(B56="",D56=""),"",B56&amp;"-"&amp;IF(OR(C56="",C56="-"),"X",UPPER(C56))&amp;"-"&amp;TEXT(D56,"00"))</x:f>
        <x:v>DK-NAM45-10K-X-20</x:v>
      </x:c>
      <x:c r="B56" s="26" t="str">
        <x:v>DK-NAM45-10K</x:v>
      </x:c>
      <x:c r="C56" s="26" t="str">
        <x:v>-</x:v>
      </x:c>
      <x:c r="D56" s="35" t="n">
        <x:v>20</x:v>
      </x:c>
      <x:c r="E56" s="28" t="str">
        <x:v>Phạm Hùng</x:v>
      </x:c>
      <x:c r="F56" s="28" t="str"/>
      <x:c r="G56" s="28" t="str"/>
      <x:c r="H56" s="28" t="str"/>
      <x:c r="I56" s="28" t="str"/>
      <x:c r="J56" s="28" t="str">
        <x:v>PTSC Thanh Hóa</x:v>
      </x:c>
      <x:c r="K56" s="28" t="str"/>
      <x:c r="L56" s="33" t="n">
        <x:v>2</x:v>
      </x:c>
      <x:c r="M56" s="33" t="str">
        <x:f>IF(E56="","CHỜ NHẬP","ĐÃ CÓ DỮ LIỆU")</x:f>
        <x:v>ĐÃ CÓ DỮ LIỆU</x:v>
      </x:c>
      <x:c r="N56" s="33" t="str">
        <x:f>IF(AND(B56="",E56=""),"",IF(A56="","THIẾU ID",IF(COUNTIF($A$8:$A$136,A56)&gt;1,"TRÙNG ID",IF(COUNTIF(HANG_MUC!$A$6:$A$50,B56)=0,"SAI HẠNG MỤC","OK"))))</x:f>
        <x:v>OK</x:v>
      </x:c>
    </x:row>
    <x:row r="57">
      <x:c r="A57" s="33" t="str">
        <x:f>IF(OR(B57="",D57=""),"",B57&amp;"-"&amp;IF(OR(C57="",C57="-"),"X",UPPER(C57))&amp;"-"&amp;TEXT(D57,"00"))</x:f>
        <x:v>DK-NAM45-10K-X-21</x:v>
      </x:c>
      <x:c r="B57" s="26" t="str">
        <x:v>DK-NAM45-10K</x:v>
      </x:c>
      <x:c r="C57" s="26" t="str">
        <x:v>-</x:v>
      </x:c>
      <x:c r="D57" s="35" t="n">
        <x:v>21</x:v>
      </x:c>
      <x:c r="E57" s="28" t="str">
        <x:v>Nguyễn Thanh Phúc</x:v>
      </x:c>
      <x:c r="F57" s="28" t="str"/>
      <x:c r="G57" s="28" t="str"/>
      <x:c r="H57" s="28" t="str"/>
      <x:c r="I57" s="28" t="str"/>
      <x:c r="J57" s="28" t="str">
        <x:v>POS</x:v>
      </x:c>
      <x:c r="K57" s="28" t="str"/>
      <x:c r="L57" s="33" t="n">
        <x:v>2</x:v>
      </x:c>
      <x:c r="M57" s="33" t="str">
        <x:f>IF(E57="","CHỜ NHẬP","ĐÃ CÓ DỮ LIỆU")</x:f>
        <x:v>ĐÃ CÓ DỮ LIỆU</x:v>
      </x:c>
      <x:c r="N57" s="33" t="str">
        <x:f>IF(AND(B57="",E57=""),"",IF(A57="","THIẾU ID",IF(COUNTIF($A$8:$A$136,A57)&gt;1,"TRÙNG ID",IF(COUNTIF(HANG_MUC!$A$6:$A$50,B57)=0,"SAI HẠNG MỤC","OK"))))</x:f>
        <x:v>OK</x:v>
      </x:c>
    </x:row>
    <x:row r="58">
      <x:c r="A58" s="33" t="str">
        <x:f>IF(OR(B58="",D58=""),"",B58&amp;"-"&amp;IF(OR(C58="",C58="-"),"X",UPPER(C58))&amp;"-"&amp;TEXT(D58,"00"))</x:f>
        <x:v>DK-NAM45-10K-X-22</x:v>
      </x:c>
      <x:c r="B58" s="26" t="str">
        <x:v>DK-NAM45-10K</x:v>
      </x:c>
      <x:c r="C58" s="26" t="str">
        <x:v>-</x:v>
      </x:c>
      <x:c r="D58" s="35" t="n">
        <x:v>22</x:v>
      </x:c>
      <x:c r="E58" s="28" t="str">
        <x:v>Nguyễn Chí Kiên</x:v>
      </x:c>
      <x:c r="F58" s="28" t="str"/>
      <x:c r="G58" s="28" t="str"/>
      <x:c r="H58" s="28" t="str"/>
      <x:c r="I58" s="28" t="str"/>
      <x:c r="J58" s="28" t="str">
        <x:v>POS</x:v>
      </x:c>
      <x:c r="K58" s="28" t="str"/>
      <x:c r="L58" s="33" t="n">
        <x:v>2</x:v>
      </x:c>
      <x:c r="M58" s="33" t="str">
        <x:f>IF(E58="","CHỜ NHẬP","ĐÃ CÓ DỮ LIỆU")</x:f>
        <x:v>ĐÃ CÓ DỮ LIỆU</x:v>
      </x:c>
      <x:c r="N58" s="33" t="str">
        <x:f>IF(AND(B58="",E58=""),"",IF(A58="","THIẾU ID",IF(COUNTIF($A$8:$A$136,A58)&gt;1,"TRÙNG ID",IF(COUNTIF(HANG_MUC!$A$6:$A$50,B58)=0,"SAI HẠNG MỤC","OK"))))</x:f>
        <x:v>OK</x:v>
      </x:c>
    </x:row>
    <x:row r="59">
      <x:c r="A59" s="33" t="str">
        <x:f>IF(OR(B59="",D59=""),"",B59&amp;"-"&amp;IF(OR(C59="",C59="-"),"X",UPPER(C59))&amp;"-"&amp;TEXT(D59,"00"))</x:f>
        <x:v>DK-NAM45-10K-X-23</x:v>
      </x:c>
      <x:c r="B59" s="26" t="str">
        <x:v>DK-NAM45-10K</x:v>
      </x:c>
      <x:c r="C59" s="26" t="str">
        <x:v>-</x:v>
      </x:c>
      <x:c r="D59" s="35" t="n">
        <x:v>23</x:v>
      </x:c>
      <x:c r="E59" s="28" t="str">
        <x:v>Nguyễn Thiện Hoàng Quý</x:v>
      </x:c>
      <x:c r="F59" s="28" t="str"/>
      <x:c r="G59" s="28" t="str"/>
      <x:c r="H59" s="28" t="str"/>
      <x:c r="I59" s="28" t="str"/>
      <x:c r="J59" s="28" t="str">
        <x:v>PTSC Thanh Hóa</x:v>
      </x:c>
      <x:c r="K59" s="28" t="str"/>
      <x:c r="L59" s="33" t="n">
        <x:v>2</x:v>
      </x:c>
      <x:c r="M59" s="33" t="str">
        <x:f>IF(E59="","CHỜ NHẬP","ĐÃ CÓ DỮ LIỆU")</x:f>
        <x:v>ĐÃ CÓ DỮ LIỆU</x:v>
      </x:c>
      <x:c r="N59" s="33" t="str">
        <x:f>IF(AND(B59="",E59=""),"",IF(A59="","THIẾU ID",IF(COUNTIF($A$8:$A$136,A59)&gt;1,"TRÙNG ID",IF(COUNTIF(HANG_MUC!$A$6:$A$50,B59)=0,"SAI HẠNG MỤC","OK"))))</x:f>
        <x:v>OK</x:v>
      </x:c>
    </x:row>
    <x:row r="60">
      <x:c r="A60" s="33" t="str">
        <x:f>IF(OR(B60="",D60=""),"",B60&amp;"-"&amp;IF(OR(C60="",C60="-"),"X",UPPER(C60))&amp;"-"&amp;TEXT(D60,"00"))</x:f>
        <x:v>DK-NAM45-21K-X-01</x:v>
      </x:c>
      <x:c r="B60" s="26" t="str">
        <x:v>DK-NAM45-21K</x:v>
      </x:c>
      <x:c r="C60" s="26" t="str">
        <x:v>-</x:v>
      </x:c>
      <x:c r="D60" s="35" t="n">
        <x:v>1</x:v>
      </x:c>
      <x:c r="E60" s="28" t="str">
        <x:v>Tô Mạnh Cường</x:v>
      </x:c>
      <x:c r="F60" s="28" t="str"/>
      <x:c r="G60" s="28" t="str"/>
      <x:c r="H60" s="28" t="str"/>
      <x:c r="I60" s="28" t="str"/>
      <x:c r="J60" s="28" t="str">
        <x:v>PTSC HQ</x:v>
      </x:c>
      <x:c r="K60" s="28" t="str"/>
      <x:c r="L60" s="33" t="n">
        <x:v>3</x:v>
      </x:c>
      <x:c r="M60" s="33" t="str">
        <x:f>IF(E60="","CHỜ NHẬP","ĐÃ CÓ DỮ LIỆU")</x:f>
        <x:v>ĐÃ CÓ DỮ LIỆU</x:v>
      </x:c>
      <x:c r="N60" s="33" t="str">
        <x:f>IF(AND(B60="",E60=""),"",IF(A60="","THIẾU ID",IF(COUNTIF($A$8:$A$136,A60)&gt;1,"TRÙNG ID",IF(COUNTIF(HANG_MUC!$A$6:$A$50,B60)=0,"SAI HẠNG MỤC","OK"))))</x:f>
        <x:v>OK</x:v>
      </x:c>
    </x:row>
    <x:row r="61">
      <x:c r="A61" s="33" t="str">
        <x:f>IF(OR(B61="",D61=""),"",B61&amp;"-"&amp;IF(OR(C61="",C61="-"),"X",UPPER(C61))&amp;"-"&amp;TEXT(D61,"00"))</x:f>
        <x:v>DK-NAM45-21K-X-02</x:v>
      </x:c>
      <x:c r="B61" s="26" t="str">
        <x:v>DK-NAM45-21K</x:v>
      </x:c>
      <x:c r="C61" s="26" t="str">
        <x:v>-</x:v>
      </x:c>
      <x:c r="D61" s="35" t="n">
        <x:v>2</x:v>
      </x:c>
      <x:c r="E61" s="28" t="str">
        <x:v>Trịnh Minh Lực</x:v>
      </x:c>
      <x:c r="F61" s="28" t="str"/>
      <x:c r="G61" s="28" t="str"/>
      <x:c r="H61" s="28" t="str"/>
      <x:c r="I61" s="28" t="str"/>
      <x:c r="J61" s="28" t="str">
        <x:v>PTSC Supply Base</x:v>
      </x:c>
      <x:c r="K61" s="28" t="str"/>
      <x:c r="L61" s="33" t="n">
        <x:v>3</x:v>
      </x:c>
      <x:c r="M61" s="33" t="str">
        <x:f>IF(E61="","CHỜ NHẬP","ĐÃ CÓ DỮ LIỆU")</x:f>
        <x:v>ĐÃ CÓ DỮ LIỆU</x:v>
      </x:c>
      <x:c r="N61" s="33" t="str">
        <x:f>IF(AND(B61="",E61=""),"",IF(A61="","THIẾU ID",IF(COUNTIF($A$8:$A$136,A61)&gt;1,"TRÙNG ID",IF(COUNTIF(HANG_MUC!$A$6:$A$50,B61)=0,"SAI HẠNG MỤC","OK"))))</x:f>
        <x:v>OK</x:v>
      </x:c>
    </x:row>
    <x:row r="62">
      <x:c r="A62" s="33" t="str">
        <x:f>IF(OR(B62="",D62=""),"",B62&amp;"-"&amp;IF(OR(C62="",C62="-"),"X",UPPER(C62))&amp;"-"&amp;TEXT(D62,"00"))</x:f>
        <x:v>DK-NAM45-21K-X-03</x:v>
      </x:c>
      <x:c r="B62" s="26" t="str">
        <x:v>DK-NAM45-21K</x:v>
      </x:c>
      <x:c r="C62" s="26" t="str">
        <x:v>-</x:v>
      </x:c>
      <x:c r="D62" s="35" t="n">
        <x:v>3</x:v>
      </x:c>
      <x:c r="E62" s="28" t="str">
        <x:v>Đào Xuân Bách</x:v>
      </x:c>
      <x:c r="F62" s="28" t="str"/>
      <x:c r="G62" s="28" t="str"/>
      <x:c r="H62" s="28" t="str"/>
      <x:c r="I62" s="28" t="str"/>
      <x:c r="J62" s="28" t="str">
        <x:v>PTSC Supply Base</x:v>
      </x:c>
      <x:c r="K62" s="28" t="str"/>
      <x:c r="L62" s="33" t="n">
        <x:v>3</x:v>
      </x:c>
      <x:c r="M62" s="33" t="str">
        <x:f>IF(E62="","CHỜ NHẬP","ĐÃ CÓ DỮ LIỆU")</x:f>
        <x:v>ĐÃ CÓ DỮ LIỆU</x:v>
      </x:c>
      <x:c r="N62" s="33" t="str">
        <x:f>IF(AND(B62="",E62=""),"",IF(A62="","THIẾU ID",IF(COUNTIF($A$8:$A$136,A62)&gt;1,"TRÙNG ID",IF(COUNTIF(HANG_MUC!$A$6:$A$50,B62)=0,"SAI HẠNG MỤC","OK"))))</x:f>
        <x:v>OK</x:v>
      </x:c>
    </x:row>
    <x:row r="63">
      <x:c r="A63" s="33" t="str">
        <x:f>IF(OR(B63="",D63=""),"",B63&amp;"-"&amp;IF(OR(C63="",C63="-"),"X",UPPER(C63))&amp;"-"&amp;TEXT(D63,"00"))</x:f>
        <x:v>DK-NAM45-21K-X-04</x:v>
      </x:c>
      <x:c r="B63" s="26" t="str">
        <x:v>DK-NAM45-21K</x:v>
      </x:c>
      <x:c r="C63" s="26" t="str">
        <x:v>-</x:v>
      </x:c>
      <x:c r="D63" s="35" t="n">
        <x:v>4</x:v>
      </x:c>
      <x:c r="E63" s="28" t="str">
        <x:v>Đinh Hồng Phong</x:v>
      </x:c>
      <x:c r="F63" s="28" t="str"/>
      <x:c r="G63" s="28" t="str"/>
      <x:c r="H63" s="28" t="str"/>
      <x:c r="I63" s="28" t="str"/>
      <x:c r="J63" s="28" t="str">
        <x:v>Chi nhánh PTSC Long Phú</x:v>
      </x:c>
      <x:c r="K63" s="28" t="str"/>
      <x:c r="L63" s="33" t="n">
        <x:v>3</x:v>
      </x:c>
      <x:c r="M63" s="33" t="str">
        <x:f>IF(E63="","CHỜ NHẬP","ĐÃ CÓ DỮ LIỆU")</x:f>
        <x:v>ĐÃ CÓ DỮ LIỆU</x:v>
      </x:c>
      <x:c r="N63" s="33" t="str">
        <x:f>IF(AND(B63="",E63=""),"",IF(A63="","THIẾU ID",IF(COUNTIF($A$8:$A$136,A63)&gt;1,"TRÙNG ID",IF(COUNTIF(HANG_MUC!$A$6:$A$50,B63)=0,"SAI HẠNG MỤC","OK"))))</x:f>
        <x:v>OK</x:v>
      </x:c>
    </x:row>
    <x:row r="64">
      <x:c r="A64" s="33" t="str">
        <x:f>IF(OR(B64="",D64=""),"",B64&amp;"-"&amp;IF(OR(C64="",C64="-"),"X",UPPER(C64))&amp;"-"&amp;TEXT(D64,"00"))</x:f>
        <x:v>DK-NAM45-21K-X-05</x:v>
      </x:c>
      <x:c r="B64" s="26" t="str">
        <x:v>DK-NAM45-21K</x:v>
      </x:c>
      <x:c r="C64" s="26" t="str">
        <x:v>-</x:v>
      </x:c>
      <x:c r="D64" s="35" t="n">
        <x:v>5</x:v>
      </x:c>
      <x:c r="E64" s="28" t="str">
        <x:v>Phạm Tấn Khương</x:v>
      </x:c>
      <x:c r="F64" s="28" t="str"/>
      <x:c r="G64" s="28" t="str"/>
      <x:c r="H64" s="28" t="str"/>
      <x:c r="I64" s="28" t="str"/>
      <x:c r="J64" s="28" t="str">
        <x:v>PTSC Quảng Ngãi</x:v>
      </x:c>
      <x:c r="K64" s="28" t="str"/>
      <x:c r="L64" s="33" t="n">
        <x:v>3</x:v>
      </x:c>
      <x:c r="M64" s="33" t="str">
        <x:f>IF(E64="","CHỜ NHẬP","ĐÃ CÓ DỮ LIỆU")</x:f>
        <x:v>ĐÃ CÓ DỮ LIỆU</x:v>
      </x:c>
      <x:c r="N64" s="33" t="str">
        <x:f>IF(AND(B64="",E64=""),"",IF(A64="","THIẾU ID",IF(COUNTIF($A$8:$A$136,A64)&gt;1,"TRÙNG ID",IF(COUNTIF(HANG_MUC!$A$6:$A$50,B64)=0,"SAI HẠNG MỤC","OK"))))</x:f>
        <x:v>OK</x:v>
      </x:c>
    </x:row>
    <x:row r="65">
      <x:c r="A65" s="33" t="str">
        <x:f>IF(OR(B65="",D65=""),"",B65&amp;"-"&amp;IF(OR(C65="",C65="-"),"X",UPPER(C65))&amp;"-"&amp;TEXT(D65,"00"))</x:f>
        <x:v>DK-NAM45-21K-X-06</x:v>
      </x:c>
      <x:c r="B65" s="26" t="str">
        <x:v>DK-NAM45-21K</x:v>
      </x:c>
      <x:c r="C65" s="26" t="str">
        <x:v>-</x:v>
      </x:c>
      <x:c r="D65" s="35" t="n">
        <x:v>6</x:v>
      </x:c>
      <x:c r="E65" s="28" t="str">
        <x:v>Nguyễn Viết Ước</x:v>
      </x:c>
      <x:c r="F65" s="28" t="str"/>
      <x:c r="G65" s="28" t="str"/>
      <x:c r="H65" s="28" t="str"/>
      <x:c r="I65" s="28" t="str"/>
      <x:c r="J65" s="28" t="str">
        <x:v>PTSC Thanh Hóa</x:v>
      </x:c>
      <x:c r="K65" s="28" t="str"/>
      <x:c r="L65" s="33" t="n">
        <x:v>3</x:v>
      </x:c>
      <x:c r="M65" s="33" t="str">
        <x:f>IF(E65="","CHỜ NHẬP","ĐÃ CÓ DỮ LIỆU")</x:f>
        <x:v>ĐÃ CÓ DỮ LIỆU</x:v>
      </x:c>
      <x:c r="N65" s="33" t="str">
        <x:f>IF(AND(B65="",E65=""),"",IF(A65="","THIẾU ID",IF(COUNTIF($A$8:$A$136,A65)&gt;1,"TRÙNG ID",IF(COUNTIF(HANG_MUC!$A$6:$A$50,B65)=0,"SAI HẠNG MỤC","OK"))))</x:f>
        <x:v>OK</x:v>
      </x:c>
    </x:row>
    <x:row r="66">
      <x:c r="A66" s="33" t="str">
        <x:f>IF(OR(B66="",D66=""),"",B66&amp;"-"&amp;IF(OR(C66="",C66="-"),"X",UPPER(C66))&amp;"-"&amp;TEXT(D66,"00"))</x:f>
        <x:v>DK-NAM45-21K-X-07</x:v>
      </x:c>
      <x:c r="B66" s="26" t="str">
        <x:v>DK-NAM45-21K</x:v>
      </x:c>
      <x:c r="C66" s="26" t="str">
        <x:v>-</x:v>
      </x:c>
      <x:c r="D66" s="35" t="n">
        <x:v>7</x:v>
      </x:c>
      <x:c r="E66" s="28" t="str">
        <x:v>Nguyễn Ngọc Lạp</x:v>
      </x:c>
      <x:c r="F66" s="28" t="str"/>
      <x:c r="G66" s="28" t="str"/>
      <x:c r="H66" s="28" t="str"/>
      <x:c r="I66" s="28" t="str"/>
      <x:c r="J66" s="28" t="str">
        <x:v>PTSC Marine</x:v>
      </x:c>
      <x:c r="K66" s="28" t="str"/>
      <x:c r="L66" s="33" t="n">
        <x:v>3</x:v>
      </x:c>
      <x:c r="M66" s="33" t="str">
        <x:f>IF(E66="","CHỜ NHẬP","ĐÃ CÓ DỮ LIỆU")</x:f>
        <x:v>ĐÃ CÓ DỮ LIỆU</x:v>
      </x:c>
      <x:c r="N66" s="33" t="str">
        <x:f>IF(AND(B66="",E66=""),"",IF(A66="","THIẾU ID",IF(COUNTIF($A$8:$A$136,A66)&gt;1,"TRÙNG ID",IF(COUNTIF(HANG_MUC!$A$6:$A$50,B66)=0,"SAI HẠNG MỤC","OK"))))</x:f>
        <x:v>OK</x:v>
      </x:c>
    </x:row>
    <x:row r="67">
      <x:c r="A67" s="33" t="str">
        <x:f>IF(OR(B67="",D67=""),"",B67&amp;"-"&amp;IF(OR(C67="",C67="-"),"X",UPPER(C67))&amp;"-"&amp;TEXT(D67,"00"))</x:f>
        <x:v>DK-NAM46-5K-X-01</x:v>
      </x:c>
      <x:c r="B67" s="26" t="str">
        <x:v>DK-NAM46-5K</x:v>
      </x:c>
      <x:c r="C67" s="26" t="str">
        <x:v>-</x:v>
      </x:c>
      <x:c r="D67" s="35" t="n">
        <x:v>1</x:v>
      </x:c>
      <x:c r="E67" s="28" t="str">
        <x:v>Trần Xuân Chánh</x:v>
      </x:c>
      <x:c r="F67" s="28" t="str"/>
      <x:c r="G67" s="28" t="str"/>
      <x:c r="H67" s="28" t="str"/>
      <x:c r="I67" s="28" t="str"/>
      <x:c r="J67" s="28" t="str">
        <x:v>PTSC M&amp;C</x:v>
      </x:c>
      <x:c r="K67" s="28" t="str"/>
      <x:c r="L67" s="33" t="n">
        <x:v>4</x:v>
      </x:c>
      <x:c r="M67" s="33" t="str">
        <x:f>IF(E67="","CHỜ NHẬP","ĐÃ CÓ DỮ LIỆU")</x:f>
        <x:v>ĐÃ CÓ DỮ LIỆU</x:v>
      </x:c>
      <x:c r="N67" s="33" t="str">
        <x:f>IF(AND(B67="",E67=""),"",IF(A67="","THIẾU ID",IF(COUNTIF($A$8:$A$136,A67)&gt;1,"TRÙNG ID",IF(COUNTIF(HANG_MUC!$A$6:$A$50,B67)=0,"SAI HẠNG MỤC","OK"))))</x:f>
        <x:v>OK</x:v>
      </x:c>
    </x:row>
    <x:row r="68">
      <x:c r="A68" s="33" t="str">
        <x:f>IF(OR(B68="",D68=""),"",B68&amp;"-"&amp;IF(OR(C68="",C68="-"),"X",UPPER(C68))&amp;"-"&amp;TEXT(D68,"00"))</x:f>
        <x:v>DK-NAM46-5K-X-02</x:v>
      </x:c>
      <x:c r="B68" s="26" t="str">
        <x:v>DK-NAM46-5K</x:v>
      </x:c>
      <x:c r="C68" s="26" t="str">
        <x:v>-</x:v>
      </x:c>
      <x:c r="D68" s="35" t="n">
        <x:v>2</x:v>
      </x:c>
      <x:c r="E68" s="28" t="str">
        <x:v>Phạm Thành Trung</x:v>
      </x:c>
      <x:c r="F68" s="28" t="str"/>
      <x:c r="G68" s="28" t="str"/>
      <x:c r="H68" s="28" t="str"/>
      <x:c r="I68" s="28" t="str"/>
      <x:c r="J68" s="28" t="str">
        <x:v>PTSC Supply Base</x:v>
      </x:c>
      <x:c r="K68" s="28" t="str"/>
      <x:c r="L68" s="33" t="n">
        <x:v>4</x:v>
      </x:c>
      <x:c r="M68" s="33" t="str">
        <x:f>IF(E68="","CHỜ NHẬP","ĐÃ CÓ DỮ LIỆU")</x:f>
        <x:v>ĐÃ CÓ DỮ LIỆU</x:v>
      </x:c>
      <x:c r="N68" s="33" t="str">
        <x:f>IF(AND(B68="",E68=""),"",IF(A68="","THIẾU ID",IF(COUNTIF($A$8:$A$136,A68)&gt;1,"TRÙNG ID",IF(COUNTIF(HANG_MUC!$A$6:$A$50,B68)=0,"SAI HẠNG MỤC","OK"))))</x:f>
        <x:v>OK</x:v>
      </x:c>
    </x:row>
    <x:row r="69">
      <x:c r="A69" s="33" t="str">
        <x:f>IF(OR(B69="",D69=""),"",B69&amp;"-"&amp;IF(OR(C69="",C69="-"),"X",UPPER(C69))&amp;"-"&amp;TEXT(D69,"00"))</x:f>
        <x:v>DK-NAM46-5K-X-03</x:v>
      </x:c>
      <x:c r="B69" s="26" t="str">
        <x:v>DK-NAM46-5K</x:v>
      </x:c>
      <x:c r="C69" s="26" t="str">
        <x:v>-</x:v>
      </x:c>
      <x:c r="D69" s="35" t="n">
        <x:v>3</x:v>
      </x:c>
      <x:c r="E69" s="28" t="str">
        <x:v>Phạm Văn Hải</x:v>
      </x:c>
      <x:c r="F69" s="28" t="str"/>
      <x:c r="G69" s="28" t="str"/>
      <x:c r="H69" s="28" t="str"/>
      <x:c r="I69" s="28" t="str"/>
      <x:c r="J69" s="28" t="str">
        <x:v>PPS</x:v>
      </x:c>
      <x:c r="K69" s="28" t="str"/>
      <x:c r="L69" s="33" t="n">
        <x:v>4</x:v>
      </x:c>
      <x:c r="M69" s="33" t="str">
        <x:f>IF(E69="","CHỜ NHẬP","ĐÃ CÓ DỮ LIỆU")</x:f>
        <x:v>ĐÃ CÓ DỮ LIỆU</x:v>
      </x:c>
      <x:c r="N69" s="33" t="str">
        <x:f>IF(AND(B69="",E69=""),"",IF(A69="","THIẾU ID",IF(COUNTIF($A$8:$A$136,A69)&gt;1,"TRÙNG ID",IF(COUNTIF(HANG_MUC!$A$6:$A$50,B69)=0,"SAI HẠNG MỤC","OK"))))</x:f>
        <x:v>OK</x:v>
      </x:c>
    </x:row>
    <x:row r="70">
      <x:c r="A70" s="33" t="str">
        <x:f>IF(OR(B70="",D70=""),"",B70&amp;"-"&amp;IF(OR(C70="",C70="-"),"X",UPPER(C70))&amp;"-"&amp;TEXT(D70,"00"))</x:f>
        <x:v>DK-NAM46-5K-X-04</x:v>
      </x:c>
      <x:c r="B70" s="26" t="str">
        <x:v>DK-NAM46-5K</x:v>
      </x:c>
      <x:c r="C70" s="26" t="str">
        <x:v>-</x:v>
      </x:c>
      <x:c r="D70" s="35" t="n">
        <x:v>4</x:v>
      </x:c>
      <x:c r="E70" s="28" t="str">
        <x:v>Đào Minh Dũng</x:v>
      </x:c>
      <x:c r="F70" s="28" t="str"/>
      <x:c r="G70" s="28" t="str"/>
      <x:c r="H70" s="28" t="str"/>
      <x:c r="I70" s="28" t="str"/>
      <x:c r="J70" s="28" t="str">
        <x:v>PTSC G&amp;S</x:v>
      </x:c>
      <x:c r="K70" s="28" t="str"/>
      <x:c r="L70" s="33" t="n">
        <x:v>4</x:v>
      </x:c>
      <x:c r="M70" s="33" t="str">
        <x:f>IF(E70="","CHỜ NHẬP","ĐÃ CÓ DỮ LIỆU")</x:f>
        <x:v>ĐÃ CÓ DỮ LIỆU</x:v>
      </x:c>
      <x:c r="N70" s="33" t="str">
        <x:f>IF(AND(B70="",E70=""),"",IF(A70="","THIẾU ID",IF(COUNTIF($A$8:$A$136,A70)&gt;1,"TRÙNG ID",IF(COUNTIF(HANG_MUC!$A$6:$A$50,B70)=0,"SAI HẠNG MỤC","OK"))))</x:f>
        <x:v>OK</x:v>
      </x:c>
    </x:row>
    <x:row r="71">
      <x:c r="A71" s="33" t="str">
        <x:f>IF(OR(B71="",D71=""),"",B71&amp;"-"&amp;IF(OR(C71="",C71="-"),"X",UPPER(C71))&amp;"-"&amp;TEXT(D71,"00"))</x:f>
        <x:v>DK-NAM46-5K-X-05</x:v>
      </x:c>
      <x:c r="B71" s="26" t="str">
        <x:v>DK-NAM46-5K</x:v>
      </x:c>
      <x:c r="C71" s="26" t="str">
        <x:v>-</x:v>
      </x:c>
      <x:c r="D71" s="35" t="n">
        <x:v>5</x:v>
      </x:c>
      <x:c r="E71" s="28" t="str">
        <x:v>Lê Văn Ngọc</x:v>
      </x:c>
      <x:c r="F71" s="28" t="str"/>
      <x:c r="G71" s="28" t="str"/>
      <x:c r="H71" s="28" t="str"/>
      <x:c r="I71" s="28" t="str"/>
      <x:c r="J71" s="28" t="str">
        <x:v>PTSC Quảng Ngãi</x:v>
      </x:c>
      <x:c r="K71" s="28" t="str"/>
      <x:c r="L71" s="33" t="n">
        <x:v>4</x:v>
      </x:c>
      <x:c r="M71" s="33" t="str">
        <x:f>IF(E71="","CHỜ NHẬP","ĐÃ CÓ DỮ LIỆU")</x:f>
        <x:v>ĐÃ CÓ DỮ LIỆU</x:v>
      </x:c>
      <x:c r="N71" s="33" t="str">
        <x:f>IF(AND(B71="",E71=""),"",IF(A71="","THIẾU ID",IF(COUNTIF($A$8:$A$136,A71)&gt;1,"TRÙNG ID",IF(COUNTIF(HANG_MUC!$A$6:$A$50,B71)=0,"SAI HẠNG MỤC","OK"))))</x:f>
        <x:v>OK</x:v>
      </x:c>
    </x:row>
    <x:row r="72">
      <x:c r="A72" s="33" t="str">
        <x:f>IF(OR(B72="",D72=""),"",B72&amp;"-"&amp;IF(OR(C72="",C72="-"),"X",UPPER(C72))&amp;"-"&amp;TEXT(D72,"00"))</x:f>
        <x:v>DK-NAM46-5K-X-07</x:v>
      </x:c>
      <x:c r="B72" s="26" t="str">
        <x:v>DK-NAM46-5K</x:v>
      </x:c>
      <x:c r="C72" s="26" t="str">
        <x:v>-</x:v>
      </x:c>
      <x:c r="D72" s="35" t="n">
        <x:v>7</x:v>
      </x:c>
      <x:c r="E72" s="28" t="str">
        <x:v>Nguyễn Ngọc Tuấn</x:v>
      </x:c>
      <x:c r="F72" s="28" t="str"/>
      <x:c r="G72" s="28" t="str"/>
      <x:c r="H72" s="28" t="str"/>
      <x:c r="I72" s="28" t="str"/>
      <x:c r="J72" s="28" t="str">
        <x:v>POS</x:v>
      </x:c>
      <x:c r="K72" s="28" t="str"/>
      <x:c r="L72" s="33" t="n">
        <x:v>4</x:v>
      </x:c>
      <x:c r="M72" s="33" t="str">
        <x:f>IF(E72="","CHỜ NHẬP","ĐÃ CÓ DỮ LIỆU")</x:f>
        <x:v>ĐÃ CÓ DỮ LIỆU</x:v>
      </x:c>
      <x:c r="N72" s="33" t="str">
        <x:f>IF(AND(B72="",E72=""),"",IF(A72="","THIẾU ID",IF(COUNTIF($A$8:$A$136,A72)&gt;1,"TRÙNG ID",IF(COUNTIF(HANG_MUC!$A$6:$A$50,B72)=0,"SAI HẠNG MỤC","OK"))))</x:f>
        <x:v>OK</x:v>
      </x:c>
    </x:row>
    <x:row r="73">
      <x:c r="A73" s="33" t="str">
        <x:f>IF(OR(B73="",D73=""),"",B73&amp;"-"&amp;IF(OR(C73="",C73="-"),"X",UPPER(C73))&amp;"-"&amp;TEXT(D73,"00"))</x:f>
        <x:v>DK-NAM46-5K-X-08</x:v>
      </x:c>
      <x:c r="B73" s="26" t="str">
        <x:v>DK-NAM46-5K</x:v>
      </x:c>
      <x:c r="C73" s="26" t="str">
        <x:v>-</x:v>
      </x:c>
      <x:c r="D73" s="35" t="n">
        <x:v>8</x:v>
      </x:c>
      <x:c r="E73" s="28" t="str">
        <x:v>Nguyễn văn Quang</x:v>
      </x:c>
      <x:c r="F73" s="28" t="str"/>
      <x:c r="G73" s="28" t="str"/>
      <x:c r="H73" s="28" t="str"/>
      <x:c r="I73" s="28" t="str"/>
      <x:c r="J73" s="28" t="str">
        <x:v>PTSC Thanh Hóa</x:v>
      </x:c>
      <x:c r="K73" s="28" t="str"/>
      <x:c r="L73" s="33" t="n">
        <x:v>4</x:v>
      </x:c>
      <x:c r="M73" s="33" t="str">
        <x:f>IF(E73="","CHỜ NHẬP","ĐÃ CÓ DỮ LIỆU")</x:f>
        <x:v>ĐÃ CÓ DỮ LIỆU</x:v>
      </x:c>
      <x:c r="N73" s="33" t="str">
        <x:f>IF(AND(B73="",E73=""),"",IF(A73="","THIẾU ID",IF(COUNTIF($A$8:$A$136,A73)&gt;1,"TRÙNG ID",IF(COUNTIF(HANG_MUC!$A$6:$A$50,B73)=0,"SAI HẠNG MỤC","OK"))))</x:f>
        <x:v>OK</x:v>
      </x:c>
    </x:row>
    <x:row r="74">
      <x:c r="A74" s="33" t="str">
        <x:f>IF(OR(B74="",D74=""),"",B74&amp;"-"&amp;IF(OR(C74="",C74="-"),"X",UPPER(C74))&amp;"-"&amp;TEXT(D74,"00"))</x:f>
        <x:v>DK-NAM46-5K-X-09</x:v>
      </x:c>
      <x:c r="B74" s="26" t="str">
        <x:v>DK-NAM46-5K</x:v>
      </x:c>
      <x:c r="C74" s="26" t="str">
        <x:v>-</x:v>
      </x:c>
      <x:c r="D74" s="35" t="n">
        <x:v>9</x:v>
      </x:c>
      <x:c r="E74" s="28" t="str">
        <x:v>Lê Đình Ninh</x:v>
      </x:c>
      <x:c r="F74" s="28" t="str"/>
      <x:c r="G74" s="28" t="str"/>
      <x:c r="H74" s="28" t="str"/>
      <x:c r="I74" s="28" t="str"/>
      <x:c r="J74" s="28" t="str">
        <x:v>PTSC Thanh Hóa</x:v>
      </x:c>
      <x:c r="K74" s="28" t="str"/>
      <x:c r="L74" s="33" t="n">
        <x:v>4</x:v>
      </x:c>
      <x:c r="M74" s="33" t="str">
        <x:f>IF(E74="","CHỜ NHẬP","ĐÃ CÓ DỮ LIỆU")</x:f>
        <x:v>ĐÃ CÓ DỮ LIỆU</x:v>
      </x:c>
      <x:c r="N74" s="33" t="str">
        <x:f>IF(AND(B74="",E74=""),"",IF(A74="","THIẾU ID",IF(COUNTIF($A$8:$A$136,A74)&gt;1,"TRÙNG ID",IF(COUNTIF(HANG_MUC!$A$6:$A$50,B74)=0,"SAI HẠNG MỤC","OK"))))</x:f>
        <x:v>OK</x:v>
      </x:c>
    </x:row>
    <x:row r="75">
      <x:c r="A75" s="33" t="str">
        <x:f>IF(OR(B75="",D75=""),"",B75&amp;"-"&amp;IF(OR(C75="",C75="-"),"X",UPPER(C75))&amp;"-"&amp;TEXT(D75,"00"))</x:f>
        <x:v>DK-NAM46-10K-X-01</x:v>
      </x:c>
      <x:c r="B75" s="26" t="str">
        <x:v>DK-NAM46-10K</x:v>
      </x:c>
      <x:c r="C75" s="26" t="str">
        <x:v>-</x:v>
      </x:c>
      <x:c r="D75" s="35" t="n">
        <x:v>1</x:v>
      </x:c>
      <x:c r="E75" s="28" t="str">
        <x:v>Vũ Hoàng Tiến</x:v>
      </x:c>
      <x:c r="F75" s="28" t="str"/>
      <x:c r="G75" s="28" t="str"/>
      <x:c r="H75" s="28" t="str"/>
      <x:c r="I75" s="28" t="str"/>
      <x:c r="J75" s="28" t="str">
        <x:v>PTSC M&amp;C</x:v>
      </x:c>
      <x:c r="K75" s="28" t="str"/>
      <x:c r="L75" s="33" t="n">
        <x:v>5</x:v>
      </x:c>
      <x:c r="M75" s="33" t="str">
        <x:f>IF(E75="","CHỜ NHẬP","ĐÃ CÓ DỮ LIỆU")</x:f>
        <x:v>ĐÃ CÓ DỮ LIỆU</x:v>
      </x:c>
      <x:c r="N75" s="33" t="str">
        <x:f>IF(AND(B75="",E75=""),"",IF(A75="","THIẾU ID",IF(COUNTIF($A$8:$A$136,A75)&gt;1,"TRÙNG ID",IF(COUNTIF(HANG_MUC!$A$6:$A$50,B75)=0,"SAI HẠNG MỤC","OK"))))</x:f>
        <x:v>OK</x:v>
      </x:c>
    </x:row>
    <x:row r="76">
      <x:c r="A76" s="33" t="str">
        <x:f>IF(OR(B76="",D76=""),"",B76&amp;"-"&amp;IF(OR(C76="",C76="-"),"X",UPPER(C76))&amp;"-"&amp;TEXT(D76,"00"))</x:f>
        <x:v>DK-NAM46-10K-X-02</x:v>
      </x:c>
      <x:c r="B76" s="26" t="str">
        <x:v>DK-NAM46-10K</x:v>
      </x:c>
      <x:c r="C76" s="26" t="str">
        <x:v>-</x:v>
      </x:c>
      <x:c r="D76" s="35" t="n">
        <x:v>2</x:v>
      </x:c>
      <x:c r="E76" s="28" t="str">
        <x:v>Đinh Anh Tuấn</x:v>
      </x:c>
      <x:c r="F76" s="28" t="str"/>
      <x:c r="G76" s="28" t="str"/>
      <x:c r="H76" s="28" t="str"/>
      <x:c r="I76" s="28" t="str"/>
      <x:c r="J76" s="28" t="str">
        <x:v>PTSC M&amp;C</x:v>
      </x:c>
      <x:c r="K76" s="28" t="str"/>
      <x:c r="L76" s="33" t="n">
        <x:v>5</x:v>
      </x:c>
      <x:c r="M76" s="33" t="str">
        <x:f>IF(E76="","CHỜ NHẬP","ĐÃ CÓ DỮ LIỆU")</x:f>
        <x:v>ĐÃ CÓ DỮ LIỆU</x:v>
      </x:c>
      <x:c r="N76" s="33" t="str">
        <x:f>IF(AND(B76="",E76=""),"",IF(A76="","THIẾU ID",IF(COUNTIF($A$8:$A$136,A76)&gt;1,"TRÙNG ID",IF(COUNTIF(HANG_MUC!$A$6:$A$50,B76)=0,"SAI HẠNG MỤC","OK"))))</x:f>
        <x:v>OK</x:v>
      </x:c>
    </x:row>
    <x:row r="77">
      <x:c r="A77" s="33" t="str">
        <x:f>IF(OR(B77="",D77=""),"",B77&amp;"-"&amp;IF(OR(C77="",C77="-"),"X",UPPER(C77))&amp;"-"&amp;TEXT(D77,"00"))</x:f>
        <x:v>DK-NAM46-10K-X-03</x:v>
      </x:c>
      <x:c r="B77" s="26" t="str">
        <x:v>DK-NAM46-10K</x:v>
      </x:c>
      <x:c r="C77" s="26" t="str">
        <x:v>-</x:v>
      </x:c>
      <x:c r="D77" s="35" t="n">
        <x:v>3</x:v>
      </x:c>
      <x:c r="E77" s="28" t="str">
        <x:v>Hoàng Nam</x:v>
      </x:c>
      <x:c r="F77" s="28" t="str"/>
      <x:c r="G77" s="28" t="str"/>
      <x:c r="H77" s="28" t="str"/>
      <x:c r="I77" s="28" t="str"/>
      <x:c r="J77" s="28" t="str">
        <x:v>PPS</x:v>
      </x:c>
      <x:c r="K77" s="28" t="str"/>
      <x:c r="L77" s="33" t="n">
        <x:v>5</x:v>
      </x:c>
      <x:c r="M77" s="33" t="str">
        <x:f>IF(E77="","CHỜ NHẬP","ĐÃ CÓ DỮ LIỆU")</x:f>
        <x:v>ĐÃ CÓ DỮ LIỆU</x:v>
      </x:c>
      <x:c r="N77" s="33" t="str">
        <x:f>IF(AND(B77="",E77=""),"",IF(A77="","THIẾU ID",IF(COUNTIF($A$8:$A$136,A77)&gt;1,"TRÙNG ID",IF(COUNTIF(HANG_MUC!$A$6:$A$50,B77)=0,"SAI HẠNG MỤC","OK"))))</x:f>
        <x:v>OK</x:v>
      </x:c>
    </x:row>
    <x:row r="78">
      <x:c r="A78" s="33" t="str">
        <x:f>IF(OR(B78="",D78=""),"",B78&amp;"-"&amp;IF(OR(C78="",C78="-"),"X",UPPER(C78))&amp;"-"&amp;TEXT(D78,"00"))</x:f>
        <x:v>DK-NAM46-10K-X-04</x:v>
      </x:c>
      <x:c r="B78" s="26" t="str">
        <x:v>DK-NAM46-10K</x:v>
      </x:c>
      <x:c r="C78" s="26" t="str">
        <x:v>-</x:v>
      </x:c>
      <x:c r="D78" s="35" t="n">
        <x:v>4</x:v>
      </x:c>
      <x:c r="E78" s="28" t="str">
        <x:v>Nguyễn Đức Hữu</x:v>
      </x:c>
      <x:c r="F78" s="28" t="str"/>
      <x:c r="G78" s="28" t="str"/>
      <x:c r="H78" s="28" t="str"/>
      <x:c r="I78" s="28" t="str"/>
      <x:c r="J78" s="28" t="str">
        <x:v>PTSC Quảng Ngãi</x:v>
      </x:c>
      <x:c r="K78" s="28" t="str"/>
      <x:c r="L78" s="33" t="n">
        <x:v>5</x:v>
      </x:c>
      <x:c r="M78" s="33" t="str">
        <x:f>IF(E78="","CHỜ NHẬP","ĐÃ CÓ DỮ LIỆU")</x:f>
        <x:v>ĐÃ CÓ DỮ LIỆU</x:v>
      </x:c>
      <x:c r="N78" s="33" t="str">
        <x:f>IF(AND(B78="",E78=""),"",IF(A78="","THIẾU ID",IF(COUNTIF($A$8:$A$136,A78)&gt;1,"TRÙNG ID",IF(COUNTIF(HANG_MUC!$A$6:$A$50,B78)=0,"SAI HẠNG MỤC","OK"))))</x:f>
        <x:v>OK</x:v>
      </x:c>
    </x:row>
    <x:row r="79">
      <x:c r="A79" s="33" t="str">
        <x:f>IF(OR(B79="",D79=""),"",B79&amp;"-"&amp;IF(OR(C79="",C79="-"),"X",UPPER(C79))&amp;"-"&amp;TEXT(D79,"00"))</x:f>
        <x:v>DK-NAM46-21K-X-01</x:v>
      </x:c>
      <x:c r="B79" s="26" t="str">
        <x:v>DK-NAM46-21K</x:v>
      </x:c>
      <x:c r="C79" s="26" t="str">
        <x:v>-</x:v>
      </x:c>
      <x:c r="D79" s="35" t="n">
        <x:v>1</x:v>
      </x:c>
      <x:c r="E79" s="28" t="str">
        <x:v>Nguyễn Anh Tuấn</x:v>
      </x:c>
      <x:c r="F79" s="28" t="str"/>
      <x:c r="G79" s="28" t="str"/>
      <x:c r="H79" s="28" t="str"/>
      <x:c r="I79" s="28" t="str"/>
      <x:c r="J79" s="28" t="str">
        <x:v>PTSC M&amp;C</x:v>
      </x:c>
      <x:c r="K79" s="28" t="str"/>
      <x:c r="L79" s="33" t="n">
        <x:v>6</x:v>
      </x:c>
      <x:c r="M79" s="33" t="str">
        <x:f>IF(E79="","CHỜ NHẬP","ĐÃ CÓ DỮ LIỆU")</x:f>
        <x:v>ĐÃ CÓ DỮ LIỆU</x:v>
      </x:c>
      <x:c r="N79" s="33" t="str">
        <x:f>IF(AND(B79="",E79=""),"",IF(A79="","THIẾU ID",IF(COUNTIF($A$8:$A$136,A79)&gt;1,"TRÙNG ID",IF(COUNTIF(HANG_MUC!$A$6:$A$50,B79)=0,"SAI HẠNG MỤC","OK"))))</x:f>
        <x:v>OK</x:v>
      </x:c>
    </x:row>
    <x:row r="80">
      <x:c r="A80" s="33" t="str">
        <x:f>IF(OR(B80="",D80=""),"",B80&amp;"-"&amp;IF(OR(C80="",C80="-"),"X",UPPER(C80))&amp;"-"&amp;TEXT(D80,"00"))</x:f>
        <x:v>DK-NAM46-21K-X-02</x:v>
      </x:c>
      <x:c r="B80" s="26" t="str">
        <x:v>DK-NAM46-21K</x:v>
      </x:c>
      <x:c r="C80" s="26" t="str">
        <x:v>-</x:v>
      </x:c>
      <x:c r="D80" s="35" t="n">
        <x:v>2</x:v>
      </x:c>
      <x:c r="E80" s="28" t="str">
        <x:v>Nguyễn Hồng Huy</x:v>
      </x:c>
      <x:c r="F80" s="28" t="str"/>
      <x:c r="G80" s="28" t="str"/>
      <x:c r="H80" s="28" t="str"/>
      <x:c r="I80" s="28" t="str"/>
      <x:c r="J80" s="28" t="str">
        <x:v>PTSC G&amp;S</x:v>
      </x:c>
      <x:c r="K80" s="28" t="str"/>
      <x:c r="L80" s="33" t="n">
        <x:v>6</x:v>
      </x:c>
      <x:c r="M80" s="33" t="str">
        <x:f>IF(E80="","CHỜ NHẬP","ĐÃ CÓ DỮ LIỆU")</x:f>
        <x:v>ĐÃ CÓ DỮ LIỆU</x:v>
      </x:c>
      <x:c r="N80" s="33" t="str">
        <x:f>IF(AND(B80="",E80=""),"",IF(A80="","THIẾU ID",IF(COUNTIF($A$8:$A$136,A80)&gt;1,"TRÙNG ID",IF(COUNTIF(HANG_MUC!$A$6:$A$50,B80)=0,"SAI HẠNG MỤC","OK"))))</x:f>
        <x:v>OK</x:v>
      </x:c>
    </x:row>
    <x:row r="81">
      <x:c r="A81" s="33" t="str">
        <x:f>IF(OR(B81="",D81=""),"",B81&amp;"-"&amp;IF(OR(C81="",C81="-"),"X",UPPER(C81))&amp;"-"&amp;TEXT(D81,"00"))</x:f>
        <x:v>DK-NAM46-21K-X-03</x:v>
      </x:c>
      <x:c r="B81" s="26" t="str">
        <x:v>DK-NAM46-21K</x:v>
      </x:c>
      <x:c r="C81" s="26" t="str">
        <x:v>-</x:v>
      </x:c>
      <x:c r="D81" s="35" t="n">
        <x:v>3</x:v>
      </x:c>
      <x:c r="E81" s="28" t="str">
        <x:v>Đoàn Ngọc Huyên</x:v>
      </x:c>
      <x:c r="F81" s="28" t="str"/>
      <x:c r="G81" s="28" t="str"/>
      <x:c r="H81" s="28" t="str"/>
      <x:c r="I81" s="28" t="str"/>
      <x:c r="J81" s="28" t="str">
        <x:v>PTSC G&amp;S</x:v>
      </x:c>
      <x:c r="K81" s="28" t="str"/>
      <x:c r="L81" s="33" t="n">
        <x:v>6</x:v>
      </x:c>
      <x:c r="M81" s="33" t="str">
        <x:f>IF(E81="","CHỜ NHẬP","ĐÃ CÓ DỮ LIỆU")</x:f>
        <x:v>ĐÃ CÓ DỮ LIỆU</x:v>
      </x:c>
      <x:c r="N81" s="33" t="str">
        <x:f>IF(AND(B81="",E81=""),"",IF(A81="","THIẾU ID",IF(COUNTIF($A$8:$A$136,A81)&gt;1,"TRÙNG ID",IF(COUNTIF(HANG_MUC!$A$6:$A$50,B81)=0,"SAI HẠNG MỤC","OK"))))</x:f>
        <x:v>OK</x:v>
      </x:c>
    </x:row>
    <x:row r="82">
      <x:c r="A82" s="33" t="str">
        <x:f>IF(OR(B82="",D82=""),"",B82&amp;"-"&amp;IF(OR(C82="",C82="-"),"X",UPPER(C82))&amp;"-"&amp;TEXT(D82,"00"))</x:f>
        <x:v>DK-NAM46-21K-X-04</x:v>
      </x:c>
      <x:c r="B82" s="26" t="str">
        <x:v>DK-NAM46-21K</x:v>
      </x:c>
      <x:c r="C82" s="26" t="str">
        <x:v>-</x:v>
      </x:c>
      <x:c r="D82" s="35" t="n">
        <x:v>4</x:v>
      </x:c>
      <x:c r="E82" s="28" t="str">
        <x:v>Đỗ Trung Dũng</x:v>
      </x:c>
      <x:c r="F82" s="28" t="str"/>
      <x:c r="G82" s="28" t="str"/>
      <x:c r="H82" s="28" t="str"/>
      <x:c r="I82" s="28" t="str"/>
      <x:c r="J82" s="28" t="str">
        <x:v>PTSC Phú Mỹ</x:v>
      </x:c>
      <x:c r="K82" s="28" t="str"/>
      <x:c r="L82" s="33" t="n">
        <x:v>6</x:v>
      </x:c>
      <x:c r="M82" s="33" t="str">
        <x:f>IF(E82="","CHỜ NHẬP","ĐÃ CÓ DỮ LIỆU")</x:f>
        <x:v>ĐÃ CÓ DỮ LIỆU</x:v>
      </x:c>
      <x:c r="N82" s="33" t="str">
        <x:f>IF(AND(B82="",E82=""),"",IF(A82="","THIẾU ID",IF(COUNTIF($A$8:$A$136,A82)&gt;1,"TRÙNG ID",IF(COUNTIF(HANG_MUC!$A$6:$A$50,B82)=0,"SAI HẠNG MỤC","OK"))))</x:f>
        <x:v>OK</x:v>
      </x:c>
    </x:row>
    <x:row r="83">
      <x:c r="A83" s="33" t="str">
        <x:f>IF(OR(B83="",D83=""),"",B83&amp;"-"&amp;IF(OR(C83="",C83="-"),"X",UPPER(C83))&amp;"-"&amp;TEXT(D83,"00"))</x:f>
        <x:v>DK-NAM46-21K-X-05</x:v>
      </x:c>
      <x:c r="B83" s="26" t="str">
        <x:v>DK-NAM46-21K</x:v>
      </x:c>
      <x:c r="C83" s="26" t="str">
        <x:v>-</x:v>
      </x:c>
      <x:c r="D83" s="35" t="n">
        <x:v>5</x:v>
      </x:c>
      <x:c r="E83" s="28" t="str">
        <x:v>Lương Ngọc Phúc</x:v>
      </x:c>
      <x:c r="F83" s="28" t="str"/>
      <x:c r="G83" s="28" t="str"/>
      <x:c r="H83" s="28" t="str"/>
      <x:c r="I83" s="28" t="str"/>
      <x:c r="J83" s="28" t="str">
        <x:v>PTSC Phú Mỹ</x:v>
      </x:c>
      <x:c r="K83" s="28" t="str"/>
      <x:c r="L83" s="33" t="n">
        <x:v>6</x:v>
      </x:c>
      <x:c r="M83" s="33" t="str">
        <x:f>IF(E83="","CHỜ NHẬP","ĐÃ CÓ DỮ LIỆU")</x:f>
        <x:v>ĐÃ CÓ DỮ LIỆU</x:v>
      </x:c>
      <x:c r="N83" s="33" t="str">
        <x:f>IF(AND(B83="",E83=""),"",IF(A83="","THIẾU ID",IF(COUNTIF($A$8:$A$136,A83)&gt;1,"TRÙNG ID",IF(COUNTIF(HANG_MUC!$A$6:$A$50,B83)=0,"SAI HẠNG MỤC","OK"))))</x:f>
        <x:v>OK</x:v>
      </x:c>
    </x:row>
    <x:row r="84">
      <x:c r="A84" s="33" t="str">
        <x:f>IF(OR(B84="",D84=""),"",B84&amp;"-"&amp;IF(OR(C84="",C84="-"),"X",UPPER(C84))&amp;"-"&amp;TEXT(D84,"00"))</x:f>
        <x:v>DK-NAM46-21K-X-06</x:v>
      </x:c>
      <x:c r="B84" s="26" t="str">
        <x:v>DK-NAM46-21K</x:v>
      </x:c>
      <x:c r="C84" s="26" t="str">
        <x:v>-</x:v>
      </x:c>
      <x:c r="D84" s="35" t="n">
        <x:v>6</x:v>
      </x:c>
      <x:c r="E84" s="28" t="str">
        <x:v>Lê Xuân Thủy</x:v>
      </x:c>
      <x:c r="F84" s="28" t="str"/>
      <x:c r="G84" s="28" t="str"/>
      <x:c r="H84" s="28" t="str"/>
      <x:c r="I84" s="28" t="str"/>
      <x:c r="J84" s="28" t="str">
        <x:v>PTSC Đình Vũ</x:v>
      </x:c>
      <x:c r="K84" s="28" t="str"/>
      <x:c r="L84" s="33" t="n">
        <x:v>6</x:v>
      </x:c>
      <x:c r="M84" s="33" t="str">
        <x:f>IF(E84="","CHỜ NHẬP","ĐÃ CÓ DỮ LIỆU")</x:f>
        <x:v>ĐÃ CÓ DỮ LIỆU</x:v>
      </x:c>
      <x:c r="N84" s="33" t="str">
        <x:f>IF(AND(B84="",E84=""),"",IF(A84="","THIẾU ID",IF(COUNTIF($A$8:$A$136,A84)&gt;1,"TRÙNG ID",IF(COUNTIF(HANG_MUC!$A$6:$A$50,B84)=0,"SAI HẠNG MỤC","OK"))))</x:f>
        <x:v>OK</x:v>
      </x:c>
    </x:row>
    <x:row r="85">
      <x:c r="A85" s="33" t="str">
        <x:f>IF(OR(B85="",D85=""),"",B85&amp;"-"&amp;IF(OR(C85="",C85="-"),"X",UPPER(C85))&amp;"-"&amp;TEXT(D85,"00"))</x:f>
        <x:v>DK-NAM46-21K-X-07</x:v>
      </x:c>
      <x:c r="B85" s="26" t="str">
        <x:v>DK-NAM46-21K</x:v>
      </x:c>
      <x:c r="C85" s="26" t="str">
        <x:v>-</x:v>
      </x:c>
      <x:c r="D85" s="35" t="n">
        <x:v>7</x:v>
      </x:c>
      <x:c r="E85" s="28" t="str">
        <x:v>Lê Hữu Lành</x:v>
      </x:c>
      <x:c r="F85" s="28" t="str"/>
      <x:c r="G85" s="28" t="str"/>
      <x:c r="H85" s="28" t="str"/>
      <x:c r="I85" s="28" t="str"/>
      <x:c r="J85" s="28" t="str">
        <x:v>PVSecurity</x:v>
      </x:c>
      <x:c r="K85" s="28" t="str"/>
      <x:c r="L85" s="33" t="n">
        <x:v>6</x:v>
      </x:c>
      <x:c r="M85" s="33" t="str">
        <x:f>IF(E85="","CHỜ NHẬP","ĐÃ CÓ DỮ LIỆU")</x:f>
        <x:v>ĐÃ CÓ DỮ LIỆU</x:v>
      </x:c>
      <x:c r="N85" s="33" t="str">
        <x:f>IF(AND(B85="",E85=""),"",IF(A85="","THIẾU ID",IF(COUNTIF($A$8:$A$136,A85)&gt;1,"TRÙNG ID",IF(COUNTIF(HANG_MUC!$A$6:$A$50,B85)=0,"SAI HẠNG MỤC","OK"))))</x:f>
        <x:v>OK</x:v>
      </x:c>
    </x:row>
    <x:row r="86">
      <x:c r="A86" s="33" t="str">
        <x:f>IF(OR(B86="",D86=""),"",B86&amp;"-"&amp;IF(OR(C86="",C86="-"),"X",UPPER(C86))&amp;"-"&amp;TEXT(D86,"00"))</x:f>
        <x:v>DK-NAM46-21K-X-08</x:v>
      </x:c>
      <x:c r="B86" s="26" t="str">
        <x:v>DK-NAM46-21K</x:v>
      </x:c>
      <x:c r="C86" s="26" t="str">
        <x:v>-</x:v>
      </x:c>
      <x:c r="D86" s="35" t="n">
        <x:v>8</x:v>
      </x:c>
      <x:c r="E86" s="28" t="str">
        <x:v>Nguyễn Đình Chiểu</x:v>
      </x:c>
      <x:c r="F86" s="28" t="str"/>
      <x:c r="G86" s="28" t="str"/>
      <x:c r="H86" s="28" t="str"/>
      <x:c r="I86" s="28" t="str"/>
      <x:c r="J86" s="28" t="str">
        <x:v>PTSC Quảng Ngãi</x:v>
      </x:c>
      <x:c r="K86" s="28" t="str"/>
      <x:c r="L86" s="33" t="n">
        <x:v>6</x:v>
      </x:c>
      <x:c r="M86" s="33" t="str">
        <x:f>IF(E86="","CHỜ NHẬP","ĐÃ CÓ DỮ LIỆU")</x:f>
        <x:v>ĐÃ CÓ DỮ LIỆU</x:v>
      </x:c>
      <x:c r="N86" s="33" t="str">
        <x:f>IF(AND(B86="",E86=""),"",IF(A86="","THIẾU ID",IF(COUNTIF($A$8:$A$136,A86)&gt;1,"TRÙNG ID",IF(COUNTIF(HANG_MUC!$A$6:$A$50,B86)=0,"SAI HẠNG MỤC","OK"))))</x:f>
        <x:v>OK</x:v>
      </x:c>
    </x:row>
    <x:row r="87">
      <x:c r="A87" s="33" t="str">
        <x:f>IF(OR(B87="",D87=""),"",B87&amp;"-"&amp;IF(OR(C87="",C87="-"),"X",UPPER(C87))&amp;"-"&amp;TEXT(D87,"00"))</x:f>
        <x:v>DK-NAM46-21K-X-09</x:v>
      </x:c>
      <x:c r="B87" s="26" t="str">
        <x:v>DK-NAM46-21K</x:v>
      </x:c>
      <x:c r="C87" s="26" t="str">
        <x:v>-</x:v>
      </x:c>
      <x:c r="D87" s="35" t="n">
        <x:v>9</x:v>
      </x:c>
      <x:c r="E87" s="28" t="str">
        <x:v>Ngô Văn Lập</x:v>
      </x:c>
      <x:c r="F87" s="28" t="str"/>
      <x:c r="G87" s="28" t="str"/>
      <x:c r="H87" s="28" t="str"/>
      <x:c r="I87" s="28" t="str"/>
      <x:c r="J87" s="28" t="str">
        <x:v>PTSC SAO MAI</x:v>
      </x:c>
      <x:c r="K87" s="28" t="str"/>
      <x:c r="L87" s="33" t="n">
        <x:v>6</x:v>
      </x:c>
      <x:c r="M87" s="33" t="str">
        <x:f>IF(E87="","CHỜ NHẬP","ĐÃ CÓ DỮ LIỆU")</x:f>
        <x:v>ĐÃ CÓ DỮ LIỆU</x:v>
      </x:c>
      <x:c r="N87" s="33" t="str">
        <x:f>IF(AND(B87="",E87=""),"",IF(A87="","THIẾU ID",IF(COUNTIF($A$8:$A$136,A87)&gt;1,"TRÙNG ID",IF(COUNTIF(HANG_MUC!$A$6:$A$50,B87)=0,"SAI HẠNG MỤC","OK"))))</x:f>
        <x:v>OK</x:v>
      </x:c>
    </x:row>
    <x:row r="88">
      <x:c r="A88" s="33" t="str">
        <x:f>IF(OR(B88="",D88=""),"",B88&amp;"-"&amp;IF(OR(C88="",C88="-"),"X",UPPER(C88))&amp;"-"&amp;TEXT(D88,"00"))</x:f>
        <x:v>DK-NAM46-21K-X-10</x:v>
      </x:c>
      <x:c r="B88" s="26" t="str">
        <x:v>DK-NAM46-21K</x:v>
      </x:c>
      <x:c r="C88" s="26" t="str">
        <x:v>-</x:v>
      </x:c>
      <x:c r="D88" s="35" t="n">
        <x:v>10</x:v>
      </x:c>
      <x:c r="E88" s="28" t="str">
        <x:v>Tô Ngọc Bình</x:v>
      </x:c>
      <x:c r="F88" s="28" t="str"/>
      <x:c r="G88" s="28" t="str"/>
      <x:c r="H88" s="28" t="str"/>
      <x:c r="I88" s="28" t="str"/>
      <x:c r="J88" s="28" t="str">
        <x:v>PTSC Thanh Hóa</x:v>
      </x:c>
      <x:c r="K88" s="28" t="str"/>
      <x:c r="L88" s="33" t="n">
        <x:v>6</x:v>
      </x:c>
      <x:c r="M88" s="33" t="str">
        <x:f>IF(E88="","CHỜ NHẬP","ĐÃ CÓ DỮ LIỆU")</x:f>
        <x:v>ĐÃ CÓ DỮ LIỆU</x:v>
      </x:c>
      <x:c r="N88" s="33" t="str">
        <x:f>IF(AND(B88="",E88=""),"",IF(A88="","THIẾU ID",IF(COUNTIF($A$8:$A$136,A88)&gt;1,"TRÙNG ID",IF(COUNTIF(HANG_MUC!$A$6:$A$50,B88)=0,"SAI HẠNG MỤC","OK"))))</x:f>
        <x:v>OK</x:v>
      </x:c>
    </x:row>
    <x:row r="89">
      <x:c r="A89" s="33" t="str">
        <x:f>IF(OR(B89="",D89=""),"",B89&amp;"-"&amp;IF(OR(C89="",C89="-"),"X",UPPER(C89))&amp;"-"&amp;TEXT(D89,"00"))</x:f>
        <x:v>DK-NAM46-21K-X-11</x:v>
      </x:c>
      <x:c r="B89" s="26" t="str">
        <x:v>DK-NAM46-21K</x:v>
      </x:c>
      <x:c r="C89" s="26" t="str">
        <x:v>-</x:v>
      </x:c>
      <x:c r="D89" s="35" t="n">
        <x:v>11</x:v>
      </x:c>
      <x:c r="E89" s="28" t="str">
        <x:v>Cù Văn Việt</x:v>
      </x:c>
      <x:c r="F89" s="28" t="str"/>
      <x:c r="G89" s="28" t="str"/>
      <x:c r="H89" s="28" t="str"/>
      <x:c r="I89" s="28" t="str"/>
      <x:c r="J89" s="28" t="str">
        <x:v>PTSC Thanh Hóa</x:v>
      </x:c>
      <x:c r="K89" s="28" t="str"/>
      <x:c r="L89" s="33" t="n">
        <x:v>6</x:v>
      </x:c>
      <x:c r="M89" s="33" t="str">
        <x:f>IF(E89="","CHỜ NHẬP","ĐÃ CÓ DỮ LIỆU")</x:f>
        <x:v>ĐÃ CÓ DỮ LIỆU</x:v>
      </x:c>
      <x:c r="N89" s="33" t="str">
        <x:f>IF(AND(B89="",E89=""),"",IF(A89="","THIẾU ID",IF(COUNTIF($A$8:$A$136,A89)&gt;1,"TRÙNG ID",IF(COUNTIF(HANG_MUC!$A$6:$A$50,B89)=0,"SAI HẠNG MỤC","OK"))))</x:f>
        <x:v>OK</x:v>
      </x:c>
    </x:row>
    <x:row r="90">
      <x:c r="A90" s="33" t="str">
        <x:f>IF(OR(B90="",D90=""),"",B90&amp;"-"&amp;IF(OR(C90="",C90="-"),"X",UPPER(C90))&amp;"-"&amp;TEXT(D90,"00"))</x:f>
        <x:v>DK-NU45-5K-X-01</x:v>
      </x:c>
      <x:c r="B90" s="26" t="str">
        <x:v>DK-NU45-5K</x:v>
      </x:c>
      <x:c r="C90" s="26" t="str">
        <x:v>-</x:v>
      </x:c>
      <x:c r="D90" s="35" t="n">
        <x:v>1</x:v>
      </x:c>
      <x:c r="E90" s="28" t="str">
        <x:v>Lê Bảo Khánh Hằng</x:v>
      </x:c>
      <x:c r="F90" s="28" t="str"/>
      <x:c r="G90" s="28" t="str"/>
      <x:c r="H90" s="28" t="str"/>
      <x:c r="I90" s="28" t="str"/>
      <x:c r="J90" s="28" t="str">
        <x:v>PTSC HQ</x:v>
      </x:c>
      <x:c r="K90" s="28" t="str"/>
      <x:c r="L90" s="33" t="n">
        <x:v>7</x:v>
      </x:c>
      <x:c r="M90" s="33" t="str">
        <x:f>IF(E90="","CHỜ NHẬP","ĐÃ CÓ DỮ LIỆU")</x:f>
        <x:v>ĐÃ CÓ DỮ LIỆU</x:v>
      </x:c>
      <x:c r="N90" s="33" t="str">
        <x:f>IF(AND(B90="",E90=""),"",IF(A90="","THIẾU ID",IF(COUNTIF($A$8:$A$136,A90)&gt;1,"TRÙNG ID",IF(COUNTIF(HANG_MUC!$A$6:$A$50,B90)=0,"SAI HẠNG MỤC","OK"))))</x:f>
        <x:v>OK</x:v>
      </x:c>
    </x:row>
    <x:row r="91">
      <x:c r="A91" s="33" t="str">
        <x:f>IF(OR(B91="",D91=""),"",B91&amp;"-"&amp;IF(OR(C91="",C91="-"),"X",UPPER(C91))&amp;"-"&amp;TEXT(D91,"00"))</x:f>
        <x:v>DK-NU45-5K-X-02</x:v>
      </x:c>
      <x:c r="B91" s="26" t="str">
        <x:v>DK-NU45-5K</x:v>
      </x:c>
      <x:c r="C91" s="26" t="str">
        <x:v>-</x:v>
      </x:c>
      <x:c r="D91" s="35" t="n">
        <x:v>2</x:v>
      </x:c>
      <x:c r="E91" s="28" t="str">
        <x:v>Đỗ Hà Quỳnh Trâm</x:v>
      </x:c>
      <x:c r="F91" s="28" t="str"/>
      <x:c r="G91" s="28" t="str"/>
      <x:c r="H91" s="28" t="str"/>
      <x:c r="I91" s="28" t="str"/>
      <x:c r="J91" s="28" t="str">
        <x:v>PTSC HQ</x:v>
      </x:c>
      <x:c r="K91" s="28" t="str"/>
      <x:c r="L91" s="33" t="n">
        <x:v>7</x:v>
      </x:c>
      <x:c r="M91" s="33" t="str">
        <x:f>IF(E91="","CHỜ NHẬP","ĐÃ CÓ DỮ LIỆU")</x:f>
        <x:v>ĐÃ CÓ DỮ LIỆU</x:v>
      </x:c>
      <x:c r="N91" s="33" t="str">
        <x:f>IF(AND(B91="",E91=""),"",IF(A91="","THIẾU ID",IF(COUNTIF($A$8:$A$136,A91)&gt;1,"TRÙNG ID",IF(COUNTIF(HANG_MUC!$A$6:$A$50,B91)=0,"SAI HẠNG MỤC","OK"))))</x:f>
        <x:v>OK</x:v>
      </x:c>
    </x:row>
    <x:row r="92">
      <x:c r="A92" s="33" t="str">
        <x:f>IF(OR(B92="",D92=""),"",B92&amp;"-"&amp;IF(OR(C92="",C92="-"),"X",UPPER(C92))&amp;"-"&amp;TEXT(D92,"00"))</x:f>
        <x:v>DK-NU45-5K-X-03</x:v>
      </x:c>
      <x:c r="B92" s="26" t="str">
        <x:v>DK-NU45-5K</x:v>
      </x:c>
      <x:c r="C92" s="26" t="str">
        <x:v>-</x:v>
      </x:c>
      <x:c r="D92" s="35" t="n">
        <x:v>3</x:v>
      </x:c>
      <x:c r="E92" s="28" t="str">
        <x:v>Nguyễn Hoàng Xuân Ý</x:v>
      </x:c>
      <x:c r="F92" s="28" t="str"/>
      <x:c r="G92" s="28" t="str"/>
      <x:c r="H92" s="28" t="str"/>
      <x:c r="I92" s="28" t="str"/>
      <x:c r="J92" s="28" t="str">
        <x:v>PTSC HQ</x:v>
      </x:c>
      <x:c r="K92" s="28" t="str"/>
      <x:c r="L92" s="33" t="n">
        <x:v>7</x:v>
      </x:c>
      <x:c r="M92" s="33" t="str">
        <x:f>IF(E92="","CHỜ NHẬP","ĐÃ CÓ DỮ LIỆU")</x:f>
        <x:v>ĐÃ CÓ DỮ LIỆU</x:v>
      </x:c>
      <x:c r="N92" s="33" t="str">
        <x:f>IF(AND(B92="",E92=""),"",IF(A92="","THIẾU ID",IF(COUNTIF($A$8:$A$136,A92)&gt;1,"TRÙNG ID",IF(COUNTIF(HANG_MUC!$A$6:$A$50,B92)=0,"SAI HẠNG MỤC","OK"))))</x:f>
        <x:v>OK</x:v>
      </x:c>
    </x:row>
    <x:row r="93">
      <x:c r="A93" s="33" t="str">
        <x:f>IF(OR(B93="",D93=""),"",B93&amp;"-"&amp;IF(OR(C93="",C93="-"),"X",UPPER(C93))&amp;"-"&amp;TEXT(D93,"00"))</x:f>
        <x:v>DK-NU45-5K-X-04</x:v>
      </x:c>
      <x:c r="B93" s="26" t="str">
        <x:v>DK-NU45-5K</x:v>
      </x:c>
      <x:c r="C93" s="26" t="str">
        <x:v>-</x:v>
      </x:c>
      <x:c r="D93" s="35" t="n">
        <x:v>4</x:v>
      </x:c>
      <x:c r="E93" s="28" t="str">
        <x:v>Nguyễn Võ Thu Uyên</x:v>
      </x:c>
      <x:c r="F93" s="28" t="str"/>
      <x:c r="G93" s="28" t="str"/>
      <x:c r="H93" s="28" t="str"/>
      <x:c r="I93" s="28" t="str"/>
      <x:c r="J93" s="28" t="str">
        <x:v>PTSC HQ</x:v>
      </x:c>
      <x:c r="K93" s="28" t="str"/>
      <x:c r="L93" s="33" t="n">
        <x:v>7</x:v>
      </x:c>
      <x:c r="M93" s="33" t="str">
        <x:f>IF(E93="","CHỜ NHẬP","ĐÃ CÓ DỮ LIỆU")</x:f>
        <x:v>ĐÃ CÓ DỮ LIỆU</x:v>
      </x:c>
      <x:c r="N93" s="33" t="str">
        <x:f>IF(AND(B93="",E93=""),"",IF(A93="","THIẾU ID",IF(COUNTIF($A$8:$A$136,A93)&gt;1,"TRÙNG ID",IF(COUNTIF(HANG_MUC!$A$6:$A$50,B93)=0,"SAI HẠNG MỤC","OK"))))</x:f>
        <x:v>OK</x:v>
      </x:c>
    </x:row>
    <x:row r="94">
      <x:c r="A94" s="33" t="str">
        <x:f>IF(OR(B94="",D94=""),"",B94&amp;"-"&amp;IF(OR(C94="",C94="-"),"X",UPPER(C94))&amp;"-"&amp;TEXT(D94,"00"))</x:f>
        <x:v>DK-NU45-5K-X-05</x:v>
      </x:c>
      <x:c r="B94" s="26" t="str">
        <x:v>DK-NU45-5K</x:v>
      </x:c>
      <x:c r="C94" s="26" t="str">
        <x:v>-</x:v>
      </x:c>
      <x:c r="D94" s="35" t="n">
        <x:v>5</x:v>
      </x:c>
      <x:c r="E94" s="28" t="str">
        <x:v>Nguyễn Hồ Cẩm Vân</x:v>
      </x:c>
      <x:c r="F94" s="28" t="str"/>
      <x:c r="G94" s="28" t="str"/>
      <x:c r="H94" s="28" t="str"/>
      <x:c r="I94" s="28" t="str"/>
      <x:c r="J94" s="28" t="str">
        <x:v>PTSC HQ</x:v>
      </x:c>
      <x:c r="K94" s="28" t="str"/>
      <x:c r="L94" s="33" t="n">
        <x:v>7</x:v>
      </x:c>
      <x:c r="M94" s="33" t="str">
        <x:f>IF(E94="","CHỜ NHẬP","ĐÃ CÓ DỮ LIỆU")</x:f>
        <x:v>ĐÃ CÓ DỮ LIỆU</x:v>
      </x:c>
      <x:c r="N94" s="33" t="str">
        <x:f>IF(AND(B94="",E94=""),"",IF(A94="","THIẾU ID",IF(COUNTIF($A$8:$A$136,A94)&gt;1,"TRÙNG ID",IF(COUNTIF(HANG_MUC!$A$6:$A$50,B94)=0,"SAI HẠNG MỤC","OK"))))</x:f>
        <x:v>OK</x:v>
      </x:c>
    </x:row>
    <x:row r="95">
      <x:c r="A95" s="33" t="str">
        <x:f>IF(OR(B95="",D95=""),"",B95&amp;"-"&amp;IF(OR(C95="",C95="-"),"X",UPPER(C95))&amp;"-"&amp;TEXT(D95,"00"))</x:f>
        <x:v>DK-NU45-5K-X-06</x:v>
      </x:c>
      <x:c r="B95" s="26" t="str">
        <x:v>DK-NU45-5K</x:v>
      </x:c>
      <x:c r="C95" s="26" t="str">
        <x:v>-</x:v>
      </x:c>
      <x:c r="D95" s="35" t="n">
        <x:v>6</x:v>
      </x:c>
      <x:c r="E95" s="28" t="str">
        <x:v>Nguyễn Vân Phương</x:v>
      </x:c>
      <x:c r="F95" s="28" t="str"/>
      <x:c r="G95" s="28" t="str"/>
      <x:c r="H95" s="28" t="str"/>
      <x:c r="I95" s="28" t="str"/>
      <x:c r="J95" s="28" t="str">
        <x:v>PTSC HQ</x:v>
      </x:c>
      <x:c r="K95" s="28" t="str"/>
      <x:c r="L95" s="33" t="n">
        <x:v>7</x:v>
      </x:c>
      <x:c r="M95" s="33" t="str">
        <x:f>IF(E95="","CHỜ NHẬP","ĐÃ CÓ DỮ LIỆU")</x:f>
        <x:v>ĐÃ CÓ DỮ LIỆU</x:v>
      </x:c>
      <x:c r="N95" s="33" t="str">
        <x:f>IF(AND(B95="",E95=""),"",IF(A95="","THIẾU ID",IF(COUNTIF($A$8:$A$136,A95)&gt;1,"TRÙNG ID",IF(COUNTIF(HANG_MUC!$A$6:$A$50,B95)=0,"SAI HẠNG MỤC","OK"))))</x:f>
        <x:v>OK</x:v>
      </x:c>
    </x:row>
    <x:row r="96">
      <x:c r="A96" s="33" t="str">
        <x:f>IF(OR(B96="",D96=""),"",B96&amp;"-"&amp;IF(OR(C96="",C96="-"),"X",UPPER(C96))&amp;"-"&amp;TEXT(D96,"00"))</x:f>
        <x:v>DK-NU45-5K-X-07</x:v>
      </x:c>
      <x:c r="B96" s="26" t="str">
        <x:v>DK-NU45-5K</x:v>
      </x:c>
      <x:c r="C96" s="26" t="str">
        <x:v>-</x:v>
      </x:c>
      <x:c r="D96" s="35" t="n">
        <x:v>7</x:v>
      </x:c>
      <x:c r="E96" s="28" t="str">
        <x:v>Phạm Hương Giang</x:v>
      </x:c>
      <x:c r="F96" s="28" t="str"/>
      <x:c r="G96" s="28" t="str"/>
      <x:c r="H96" s="28" t="str"/>
      <x:c r="I96" s="28" t="str"/>
      <x:c r="J96" s="28" t="str">
        <x:v>PPS</x:v>
      </x:c>
      <x:c r="K96" s="28" t="str"/>
      <x:c r="L96" s="33" t="n">
        <x:v>7</x:v>
      </x:c>
      <x:c r="M96" s="33" t="str">
        <x:f>IF(E96="","CHỜ NHẬP","ĐÃ CÓ DỮ LIỆU")</x:f>
        <x:v>ĐÃ CÓ DỮ LIỆU</x:v>
      </x:c>
      <x:c r="N96" s="33" t="str">
        <x:f>IF(AND(B96="",E96=""),"",IF(A96="","THIẾU ID",IF(COUNTIF($A$8:$A$136,A96)&gt;1,"TRÙNG ID",IF(COUNTIF(HANG_MUC!$A$6:$A$50,B96)=0,"SAI HẠNG MỤC","OK"))))</x:f>
        <x:v>OK</x:v>
      </x:c>
    </x:row>
    <x:row r="97">
      <x:c r="A97" s="33" t="str">
        <x:f>IF(OR(B97="",D97=""),"",B97&amp;"-"&amp;IF(OR(C97="",C97="-"),"X",UPPER(C97))&amp;"-"&amp;TEXT(D97,"00"))</x:f>
        <x:v>DK-NU45-5K-X-08</x:v>
      </x:c>
      <x:c r="B97" s="26" t="str">
        <x:v>DK-NU45-5K</x:v>
      </x:c>
      <x:c r="C97" s="26" t="str">
        <x:v>-</x:v>
      </x:c>
      <x:c r="D97" s="35" t="n">
        <x:v>8</x:v>
      </x:c>
      <x:c r="E97" s="28" t="str">
        <x:v>Nguyễn Thị Minh Thu</x:v>
      </x:c>
      <x:c r="F97" s="28" t="str"/>
      <x:c r="G97" s="28" t="str"/>
      <x:c r="H97" s="28" t="str"/>
      <x:c r="I97" s="28" t="str"/>
      <x:c r="J97" s="28" t="str">
        <x:v>PTSC Phú Mỹ</x:v>
      </x:c>
      <x:c r="K97" s="28" t="str"/>
      <x:c r="L97" s="33" t="n">
        <x:v>7</x:v>
      </x:c>
      <x:c r="M97" s="33" t="str">
        <x:f>IF(E97="","CHỜ NHẬP","ĐÃ CÓ DỮ LIỆU")</x:f>
        <x:v>ĐÃ CÓ DỮ LIỆU</x:v>
      </x:c>
      <x:c r="N97" s="33" t="str">
        <x:f>IF(AND(B97="",E97=""),"",IF(A97="","THIẾU ID",IF(COUNTIF($A$8:$A$136,A97)&gt;1,"TRÙNG ID",IF(COUNTIF(HANG_MUC!$A$6:$A$50,B97)=0,"SAI HẠNG MỤC","OK"))))</x:f>
        <x:v>OK</x:v>
      </x:c>
    </x:row>
    <x:row r="98">
      <x:c r="A98" s="33" t="str">
        <x:f>IF(OR(B98="",D98=""),"",B98&amp;"-"&amp;IF(OR(C98="",C98="-"),"X",UPPER(C98))&amp;"-"&amp;TEXT(D98,"00"))</x:f>
        <x:v>DK-NU45-5K-X-09</x:v>
      </x:c>
      <x:c r="B98" s="26" t="str">
        <x:v>DK-NU45-5K</x:v>
      </x:c>
      <x:c r="C98" s="26" t="str">
        <x:v>-</x:v>
      </x:c>
      <x:c r="D98" s="35" t="n">
        <x:v>9</x:v>
      </x:c>
      <x:c r="E98" s="28" t="str">
        <x:v>Lê Thị Diễm Kiều</x:v>
      </x:c>
      <x:c r="F98" s="28" t="str"/>
      <x:c r="G98" s="28" t="str"/>
      <x:c r="H98" s="28" t="str"/>
      <x:c r="I98" s="28" t="str"/>
      <x:c r="J98" s="28" t="str">
        <x:v>PTSC Phú Mỹ</x:v>
      </x:c>
      <x:c r="K98" s="28" t="str"/>
      <x:c r="L98" s="33" t="n">
        <x:v>7</x:v>
      </x:c>
      <x:c r="M98" s="33" t="str">
        <x:f>IF(E98="","CHỜ NHẬP","ĐÃ CÓ DỮ LIỆU")</x:f>
        <x:v>ĐÃ CÓ DỮ LIỆU</x:v>
      </x:c>
      <x:c r="N98" s="33" t="str">
        <x:f>IF(AND(B98="",E98=""),"",IF(A98="","THIẾU ID",IF(COUNTIF($A$8:$A$136,A98)&gt;1,"TRÙNG ID",IF(COUNTIF(HANG_MUC!$A$6:$A$50,B98)=0,"SAI HẠNG MỤC","OK"))))</x:f>
        <x:v>OK</x:v>
      </x:c>
    </x:row>
    <x:row r="99">
      <x:c r="A99" s="33" t="str">
        <x:f>IF(OR(B99="",D99=""),"",B99&amp;"-"&amp;IF(OR(C99="",C99="-"),"X",UPPER(C99))&amp;"-"&amp;TEXT(D99,"00"))</x:f>
        <x:v>DK-NU45-5K-X-10</x:v>
      </x:c>
      <x:c r="B99" s="26" t="str">
        <x:v>DK-NU45-5K</x:v>
      </x:c>
      <x:c r="C99" s="26" t="str">
        <x:v>-</x:v>
      </x:c>
      <x:c r="D99" s="35" t="n">
        <x:v>10</x:v>
      </x:c>
      <x:c r="E99" s="28" t="str">
        <x:v>Bùi Vy Tố Uyên</x:v>
      </x:c>
      <x:c r="F99" s="28" t="str"/>
      <x:c r="G99" s="28" t="str"/>
      <x:c r="H99" s="28" t="str"/>
      <x:c r="I99" s="28" t="str"/>
      <x:c r="J99" s="28" t="str">
        <x:v>PTSC Quảng Ngãi</x:v>
      </x:c>
      <x:c r="K99" s="28" t="str"/>
      <x:c r="L99" s="33" t="n">
        <x:v>7</x:v>
      </x:c>
      <x:c r="M99" s="33" t="str">
        <x:f>IF(E99="","CHỜ NHẬP","ĐÃ CÓ DỮ LIỆU")</x:f>
        <x:v>ĐÃ CÓ DỮ LIỆU</x:v>
      </x:c>
      <x:c r="N99" s="33" t="str">
        <x:f>IF(AND(B99="",E99=""),"",IF(A99="","THIẾU ID",IF(COUNTIF($A$8:$A$136,A99)&gt;1,"TRÙNG ID",IF(COUNTIF(HANG_MUC!$A$6:$A$50,B99)=0,"SAI HẠNG MỤC","OK"))))</x:f>
        <x:v>OK</x:v>
      </x:c>
    </x:row>
    <x:row r="100">
      <x:c r="A100" s="33" t="str">
        <x:f>IF(OR(B100="",D100=""),"",B100&amp;"-"&amp;IF(OR(C100="",C100="-"),"X",UPPER(C100))&amp;"-"&amp;TEXT(D100,"00"))</x:f>
        <x:v>DK-NU45-5K-X-11</x:v>
      </x:c>
      <x:c r="B100" s="26" t="str">
        <x:v>DK-NU45-5K</x:v>
      </x:c>
      <x:c r="C100" s="26" t="str">
        <x:v>-</x:v>
      </x:c>
      <x:c r="D100" s="35" t="n">
        <x:v>11</x:v>
      </x:c>
      <x:c r="E100" s="28" t="str">
        <x:v>Lê Thị Diễm Trang</x:v>
      </x:c>
      <x:c r="F100" s="28" t="str"/>
      <x:c r="G100" s="28" t="str"/>
      <x:c r="H100" s="28" t="str"/>
      <x:c r="I100" s="28" t="str"/>
      <x:c r="J100" s="28" t="str">
        <x:v>PTSC Quảng Ngãi</x:v>
      </x:c>
      <x:c r="K100" s="28" t="str"/>
      <x:c r="L100" s="33" t="n">
        <x:v>7</x:v>
      </x:c>
      <x:c r="M100" s="33" t="str">
        <x:f>IF(E100="","CHỜ NHẬP","ĐÃ CÓ DỮ LIỆU")</x:f>
        <x:v>ĐÃ CÓ DỮ LIỆU</x:v>
      </x:c>
      <x:c r="N100" s="33" t="str">
        <x:f>IF(AND(B100="",E100=""),"",IF(A100="","THIẾU ID",IF(COUNTIF($A$8:$A$136,A100)&gt;1,"TRÙNG ID",IF(COUNTIF(HANG_MUC!$A$6:$A$50,B100)=0,"SAI HẠNG MỤC","OK"))))</x:f>
        <x:v>OK</x:v>
      </x:c>
    </x:row>
    <x:row r="101">
      <x:c r="A101" s="33" t="str">
        <x:f>IF(OR(B101="",D101=""),"",B101&amp;"-"&amp;IF(OR(C101="",C101="-"),"X",UPPER(C101))&amp;"-"&amp;TEXT(D101,"00"))</x:f>
        <x:v>DK-NU45-5K-X-12</x:v>
      </x:c>
      <x:c r="B101" s="26" t="str">
        <x:v>DK-NU45-5K</x:v>
      </x:c>
      <x:c r="C101" s="26" t="str">
        <x:v>-</x:v>
      </x:c>
      <x:c r="D101" s="35" t="n">
        <x:v>12</x:v>
      </x:c>
      <x:c r="E101" s="28" t="str">
        <x:v>Đặng Thị Lan Phương</x:v>
      </x:c>
      <x:c r="F101" s="28" t="str"/>
      <x:c r="G101" s="28" t="str"/>
      <x:c r="H101" s="28" t="str"/>
      <x:c r="I101" s="28" t="str"/>
      <x:c r="J101" s="28" t="str">
        <x:v>PVShipyard</x:v>
      </x:c>
      <x:c r="K101" s="28" t="str"/>
      <x:c r="L101" s="33" t="n">
        <x:v>7</x:v>
      </x:c>
      <x:c r="M101" s="33" t="str">
        <x:f>IF(E101="","CHỜ NHẬP","ĐÃ CÓ DỮ LIỆU")</x:f>
        <x:v>ĐÃ CÓ DỮ LIỆU</x:v>
      </x:c>
      <x:c r="N101" s="33" t="str">
        <x:f>IF(AND(B101="",E101=""),"",IF(A101="","THIẾU ID",IF(COUNTIF($A$8:$A$136,A101)&gt;1,"TRÙNG ID",IF(COUNTIF(HANG_MUC!$A$6:$A$50,B101)=0,"SAI HẠNG MỤC","OK"))))</x:f>
        <x:v>OK</x:v>
      </x:c>
    </x:row>
    <x:row r="102">
      <x:c r="A102" s="33" t="str">
        <x:f>IF(OR(B102="",D102=""),"",B102&amp;"-"&amp;IF(OR(C102="",C102="-"),"X",UPPER(C102))&amp;"-"&amp;TEXT(D102,"00"))</x:f>
        <x:v>DK-NU45-5K-X-13</x:v>
      </x:c>
      <x:c r="B102" s="26" t="str">
        <x:v>DK-NU45-5K</x:v>
      </x:c>
      <x:c r="C102" s="26" t="str">
        <x:v>-</x:v>
      </x:c>
      <x:c r="D102" s="35" t="n">
        <x:v>13</x:v>
      </x:c>
      <x:c r="E102" s="28" t="str">
        <x:v>Tạ Phương Anh</x:v>
      </x:c>
      <x:c r="F102" s="28" t="str"/>
      <x:c r="G102" s="28" t="str"/>
      <x:c r="H102" s="28" t="str"/>
      <x:c r="I102" s="28" t="str"/>
      <x:c r="J102" s="28" t="str">
        <x:v>PTSC Marine</x:v>
      </x:c>
      <x:c r="K102" s="28" t="str"/>
      <x:c r="L102" s="33" t="n">
        <x:v>7</x:v>
      </x:c>
      <x:c r="M102" s="33" t="str">
        <x:f>IF(E102="","CHỜ NHẬP","ĐÃ CÓ DỮ LIỆU")</x:f>
        <x:v>ĐÃ CÓ DỮ LIỆU</x:v>
      </x:c>
      <x:c r="N102" s="33" t="str">
        <x:f>IF(AND(B102="",E102=""),"",IF(A102="","THIẾU ID",IF(COUNTIF($A$8:$A$136,A102)&gt;1,"TRÙNG ID",IF(COUNTIF(HANG_MUC!$A$6:$A$50,B102)=0,"SAI HẠNG MỤC","OK"))))</x:f>
        <x:v>OK</x:v>
      </x:c>
    </x:row>
    <x:row r="103">
      <x:c r="A103" s="33" t="str">
        <x:f>IF(OR(B103="",D103=""),"",B103&amp;"-"&amp;IF(OR(C103="",C103="-"),"X",UPPER(C103))&amp;"-"&amp;TEXT(D103,"00"))</x:f>
        <x:v>DK-NU45-5K-X-14</x:v>
      </x:c>
      <x:c r="B103" s="26" t="str">
        <x:v>DK-NU45-5K</x:v>
      </x:c>
      <x:c r="C103" s="26" t="str">
        <x:v>-</x:v>
      </x:c>
      <x:c r="D103" s="35" t="n">
        <x:v>14</x:v>
      </x:c>
      <x:c r="E103" s="28" t="str">
        <x:v>Vũ Ngọc Mai Anh</x:v>
      </x:c>
      <x:c r="F103" s="28" t="str"/>
      <x:c r="G103" s="28" t="str"/>
      <x:c r="H103" s="28" t="str"/>
      <x:c r="I103" s="28" t="str"/>
      <x:c r="J103" s="28" t="str">
        <x:v>PTSC Marine</x:v>
      </x:c>
      <x:c r="K103" s="28" t="str"/>
      <x:c r="L103" s="33" t="n">
        <x:v>7</x:v>
      </x:c>
      <x:c r="M103" s="33" t="str">
        <x:f>IF(E103="","CHỜ NHẬP","ĐÃ CÓ DỮ LIỆU")</x:f>
        <x:v>ĐÃ CÓ DỮ LIỆU</x:v>
      </x:c>
      <x:c r="N103" s="33" t="str">
        <x:f>IF(AND(B103="",E103=""),"",IF(A103="","THIẾU ID",IF(COUNTIF($A$8:$A$136,A103)&gt;1,"TRÙNG ID",IF(COUNTIF(HANG_MUC!$A$6:$A$50,B103)=0,"SAI HẠNG MỤC","OK"))))</x:f>
        <x:v>OK</x:v>
      </x:c>
    </x:row>
    <x:row r="104">
      <x:c r="A104" s="33" t="str">
        <x:f>IF(OR(B104="",D104=""),"",B104&amp;"-"&amp;IF(OR(C104="",C104="-"),"X",UPPER(C104))&amp;"-"&amp;TEXT(D104,"00"))</x:f>
        <x:v>DK-NU45-5K-X-15</x:v>
      </x:c>
      <x:c r="B104" s="26" t="str">
        <x:v>DK-NU45-5K</x:v>
      </x:c>
      <x:c r="C104" s="26" t="str">
        <x:v>-</x:v>
      </x:c>
      <x:c r="D104" s="35" t="n">
        <x:v>15</x:v>
      </x:c>
      <x:c r="E104" s="28" t="str">
        <x:v>Huỳnh Thị Thanh Lộc</x:v>
      </x:c>
      <x:c r="F104" s="28" t="str"/>
      <x:c r="G104" s="28" t="str"/>
      <x:c r="H104" s="28" t="str"/>
      <x:c r="I104" s="28" t="str"/>
      <x:c r="J104" s="28" t="str">
        <x:v>PTSC Quảng Ngãi</x:v>
      </x:c>
      <x:c r="K104" s="28" t="str"/>
      <x:c r="L104" s="33" t="n">
        <x:v>7</x:v>
      </x:c>
      <x:c r="M104" s="33" t="str">
        <x:f>IF(E104="","CHỜ NHẬP","ĐÃ CÓ DỮ LIỆU")</x:f>
        <x:v>ĐÃ CÓ DỮ LIỆU</x:v>
      </x:c>
      <x:c r="N104" s="33" t="str">
        <x:f>IF(AND(B104="",E104=""),"",IF(A104="","THIẾU ID",IF(COUNTIF($A$8:$A$136,A104)&gt;1,"TRÙNG ID",IF(COUNTIF(HANG_MUC!$A$6:$A$50,B104)=0,"SAI HẠNG MỤC","OK"))))</x:f>
        <x:v>OK</x:v>
      </x:c>
    </x:row>
    <x:row r="105">
      <x:c r="A105" s="33" t="str">
        <x:f>IF(OR(B105="",D105=""),"",B105&amp;"-"&amp;IF(OR(C105="",C105="-"),"X",UPPER(C105))&amp;"-"&amp;TEXT(D105,"00"))</x:f>
        <x:v>DK-NU45-5K-X-16</x:v>
      </x:c>
      <x:c r="B105" s="26" t="str">
        <x:v>DK-NU45-5K</x:v>
      </x:c>
      <x:c r="C105" s="26" t="str">
        <x:v>-</x:v>
      </x:c>
      <x:c r="D105" s="35" t="n">
        <x:v>16</x:v>
      </x:c>
      <x:c r="E105" s="28" t="str">
        <x:v>Hà Thị Thảo Trinh</x:v>
      </x:c>
      <x:c r="F105" s="28" t="str"/>
      <x:c r="G105" s="28" t="str"/>
      <x:c r="H105" s="28" t="str"/>
      <x:c r="I105" s="28" t="str"/>
      <x:c r="J105" s="28" t="str">
        <x:v>PTSC Miền Trung</x:v>
      </x:c>
      <x:c r="K105" s="28" t="str">
        <x:v>Theo xác nhận BTC: 5 km; PDF ZIP trang 8 vẫn hiển thị 10 km</x:v>
      </x:c>
      <x:c r="L105" s="33" t="n">
        <x:v>8</x:v>
      </x:c>
      <x:c r="M105" s="33" t="str">
        <x:f>IF(E105="","CHỜ NHẬP","ĐÃ CÓ DỮ LIỆU")</x:f>
        <x:v>ĐÃ CÓ DỮ LIỆU</x:v>
      </x:c>
      <x:c r="N105" s="33" t="str">
        <x:f>IF(AND(B105="",E105=""),"",IF(A105="","THIẾU ID",IF(COUNTIF($A$8:$A$136,A105)&gt;1,"TRÙNG ID",IF(COUNTIF(HANG_MUC!$A$6:$A$50,B105)=0,"SAI HẠNG MỤC","OK"))))</x:f>
        <x:v>OK</x:v>
      </x:c>
    </x:row>
    <x:row r="106">
      <x:c r="A106" s="33" t="str">
        <x:f>IF(OR(B106="",D106=""),"",B106&amp;"-"&amp;IF(OR(C106="",C106="-"),"X",UPPER(C106))&amp;"-"&amp;TEXT(D106,"00"))</x:f>
        <x:v>DK-NU45-10K-X-01</x:v>
      </x:c>
      <x:c r="B106" s="26" t="str">
        <x:v>DK-NU45-10K</x:v>
      </x:c>
      <x:c r="C106" s="26" t="str">
        <x:v>-</x:v>
      </x:c>
      <x:c r="D106" s="35" t="n">
        <x:v>1</x:v>
      </x:c>
      <x:c r="E106" s="28" t="str">
        <x:v>Bùi Thu Hương</x:v>
      </x:c>
      <x:c r="F106" s="28" t="str"/>
      <x:c r="G106" s="28" t="str"/>
      <x:c r="H106" s="28" t="str"/>
      <x:c r="I106" s="28" t="str"/>
      <x:c r="J106" s="28" t="str">
        <x:v>PTSC M&amp;C</x:v>
      </x:c>
      <x:c r="K106" s="28" t="str"/>
      <x:c r="L106" s="33" t="n">
        <x:v>8</x:v>
      </x:c>
      <x:c r="M106" s="33" t="str">
        <x:f>IF(E106="","CHỜ NHẬP","ĐÃ CÓ DỮ LIỆU")</x:f>
        <x:v>ĐÃ CÓ DỮ LIỆU</x:v>
      </x:c>
      <x:c r="N106" s="33" t="str">
        <x:f>IF(AND(B106="",E106=""),"",IF(A106="","THIẾU ID",IF(COUNTIF($A$8:$A$136,A106)&gt;1,"TRÙNG ID",IF(COUNTIF(HANG_MUC!$A$6:$A$50,B106)=0,"SAI HẠNG MỤC","OK"))))</x:f>
        <x:v>OK</x:v>
      </x:c>
    </x:row>
    <x:row r="107">
      <x:c r="A107" s="33" t="str">
        <x:f>IF(OR(B107="",D107=""),"",B107&amp;"-"&amp;IF(OR(C107="",C107="-"),"X",UPPER(C107))&amp;"-"&amp;TEXT(D107,"00"))</x:f>
        <x:v>DK-NU45-10K-X-02</x:v>
      </x:c>
      <x:c r="B107" s="26" t="str">
        <x:v>DK-NU45-10K</x:v>
      </x:c>
      <x:c r="C107" s="26" t="str">
        <x:v>-</x:v>
      </x:c>
      <x:c r="D107" s="35" t="n">
        <x:v>2</x:v>
      </x:c>
      <x:c r="E107" s="28" t="str">
        <x:v>Đinh Thị Thúy Nga</x:v>
      </x:c>
      <x:c r="F107" s="28" t="str"/>
      <x:c r="G107" s="28" t="str"/>
      <x:c r="H107" s="28" t="str"/>
      <x:c r="I107" s="28" t="str"/>
      <x:c r="J107" s="28" t="str">
        <x:v>POS</x:v>
      </x:c>
      <x:c r="K107" s="28" t="str"/>
      <x:c r="L107" s="33" t="n">
        <x:v>8</x:v>
      </x:c>
      <x:c r="M107" s="33" t="str">
        <x:f>IF(E107="","CHỜ NHẬP","ĐÃ CÓ DỮ LIỆU")</x:f>
        <x:v>ĐÃ CÓ DỮ LIỆU</x:v>
      </x:c>
      <x:c r="N107" s="33" t="str">
        <x:f>IF(AND(B107="",E107=""),"",IF(A107="","THIẾU ID",IF(COUNTIF($A$8:$A$136,A107)&gt;1,"TRÙNG ID",IF(COUNTIF(HANG_MUC!$A$6:$A$50,B107)=0,"SAI HẠNG MỤC","OK"))))</x:f>
        <x:v>OK</x:v>
      </x:c>
    </x:row>
    <x:row r="108">
      <x:c r="A108" s="33" t="str">
        <x:f>IF(OR(B108="",D108=""),"",B108&amp;"-"&amp;IF(OR(C108="",C108="-"),"X",UPPER(C108))&amp;"-"&amp;TEXT(D108,"00"))</x:f>
        <x:v>DK-NU45-10K-X-03</x:v>
      </x:c>
      <x:c r="B108" s="26" t="str">
        <x:v>DK-NU45-10K</x:v>
      </x:c>
      <x:c r="C108" s="26" t="str">
        <x:v>-</x:v>
      </x:c>
      <x:c r="D108" s="35" t="n">
        <x:v>3</x:v>
      </x:c>
      <x:c r="E108" s="28" t="str">
        <x:v>Nguyễn Thị Bạch Như</x:v>
      </x:c>
      <x:c r="F108" s="28" t="str"/>
      <x:c r="G108" s="28" t="str"/>
      <x:c r="H108" s="28" t="str"/>
      <x:c r="I108" s="28" t="str"/>
      <x:c r="J108" s="28" t="str">
        <x:v>PTSC M&amp;C</x:v>
      </x:c>
      <x:c r="K108" s="28" t="str"/>
      <x:c r="L108" s="33" t="n">
        <x:v>8</x:v>
      </x:c>
      <x:c r="M108" s="33" t="str">
        <x:f>IF(E108="","CHỜ NHẬP","ĐÃ CÓ DỮ LIỆU")</x:f>
        <x:v>ĐÃ CÓ DỮ LIỆU</x:v>
      </x:c>
      <x:c r="N108" s="33" t="str">
        <x:f>IF(AND(B108="",E108=""),"",IF(A108="","THIẾU ID",IF(COUNTIF($A$8:$A$136,A108)&gt;1,"TRÙNG ID",IF(COUNTIF(HANG_MUC!$A$6:$A$50,B108)=0,"SAI HẠNG MỤC","OK"))))</x:f>
        <x:v>OK</x:v>
      </x:c>
    </x:row>
    <x:row r="109">
      <x:c r="A109" s="33" t="str">
        <x:f>IF(OR(B109="",D109=""),"",B109&amp;"-"&amp;IF(OR(C109="",C109="-"),"X",UPPER(C109))&amp;"-"&amp;TEXT(D109,"00"))</x:f>
        <x:v>DK-NU45-10K-X-04</x:v>
      </x:c>
      <x:c r="B109" s="26" t="str">
        <x:v>DK-NU45-10K</x:v>
      </x:c>
      <x:c r="C109" s="26" t="str">
        <x:v>-</x:v>
      </x:c>
      <x:c r="D109" s="35" t="n">
        <x:v>4</x:v>
      </x:c>
      <x:c r="E109" s="28" t="str">
        <x:v>Huỳnh Thị Hồng Diệp</x:v>
      </x:c>
      <x:c r="F109" s="28" t="str"/>
      <x:c r="G109" s="28" t="str"/>
      <x:c r="H109" s="28" t="str"/>
      <x:c r="I109" s="28" t="str"/>
      <x:c r="J109" s="28" t="str">
        <x:v>PTSC Quảng Ngãi</x:v>
      </x:c>
      <x:c r="K109" s="28" t="str"/>
      <x:c r="L109" s="33" t="n">
        <x:v>8</x:v>
      </x:c>
      <x:c r="M109" s="33" t="str">
        <x:f>IF(E109="","CHỜ NHẬP","ĐÃ CÓ DỮ LIỆU")</x:f>
        <x:v>ĐÃ CÓ DỮ LIỆU</x:v>
      </x:c>
      <x:c r="N109" s="33" t="str">
        <x:f>IF(AND(B109="",E109=""),"",IF(A109="","THIẾU ID",IF(COUNTIF($A$8:$A$136,A109)&gt;1,"TRÙNG ID",IF(COUNTIF(HANG_MUC!$A$6:$A$50,B109)=0,"SAI HẠNG MỤC","OK"))))</x:f>
        <x:v>OK</x:v>
      </x:c>
    </x:row>
    <x:row r="110">
      <x:c r="A110" s="33" t="str">
        <x:f>IF(OR(B110="",D110=""),"",B110&amp;"-"&amp;IF(OR(C110="",C110="-"),"X",UPPER(C110))&amp;"-"&amp;TEXT(D110,"00"))</x:f>
        <x:v>DK-NU46-10K-X-01</x:v>
      </x:c>
      <x:c r="B110" s="26" t="str">
        <x:v>DK-NU46-10K</x:v>
      </x:c>
      <x:c r="C110" s="26" t="str">
        <x:v>-</x:v>
      </x:c>
      <x:c r="D110" s="35" t="n">
        <x:v>1</x:v>
      </x:c>
      <x:c r="E110" s="28" t="str">
        <x:v>Nguyễn Thị Hằng Minh</x:v>
      </x:c>
      <x:c r="F110" s="28" t="str"/>
      <x:c r="G110" s="28" t="str"/>
      <x:c r="H110" s="28" t="str"/>
      <x:c r="I110" s="28" t="str"/>
      <x:c r="J110" s="28" t="str">
        <x:v>PTSC M&amp;C</x:v>
      </x:c>
      <x:c r="K110" s="28" t="str"/>
      <x:c r="L110" s="33" t="n">
        <x:v>9</x:v>
      </x:c>
      <x:c r="M110" s="33" t="str">
        <x:f>IF(E110="","CHỜ NHẬP","ĐÃ CÓ DỮ LIỆU")</x:f>
        <x:v>ĐÃ CÓ DỮ LIỆU</x:v>
      </x:c>
      <x:c r="N110" s="33" t="str">
        <x:f>IF(AND(B110="",E110=""),"",IF(A110="","THIẾU ID",IF(COUNTIF($A$8:$A$136,A110)&gt;1,"TRÙNG ID",IF(COUNTIF(HANG_MUC!$A$6:$A$50,B110)=0,"SAI HẠNG MỤC","OK"))))</x:f>
        <x:v>OK</x:v>
      </x:c>
    </x:row>
    <x:row r="111">
      <x:c r="A111" s="33" t="str">
        <x:f>IF(OR(B111="",D111=""),"",B111&amp;"-"&amp;IF(OR(C111="",C111="-"),"X",UPPER(C111))&amp;"-"&amp;TEXT(D111,"00"))</x:f>
        <x:v>DK-NU46-10K-X-02</x:v>
      </x:c>
      <x:c r="B111" s="26" t="str">
        <x:v>DK-NU46-10K</x:v>
      </x:c>
      <x:c r="C111" s="26" t="str">
        <x:v>-</x:v>
      </x:c>
      <x:c r="D111" s="35" t="n">
        <x:v>2</x:v>
      </x:c>
      <x:c r="E111" s="28" t="str">
        <x:v>Lê Thị Phương</x:v>
      </x:c>
      <x:c r="F111" s="28" t="str"/>
      <x:c r="G111" s="28" t="str"/>
      <x:c r="H111" s="28" t="str"/>
      <x:c r="I111" s="28" t="str"/>
      <x:c r="J111" s="28" t="str">
        <x:v>PPS</x:v>
      </x:c>
      <x:c r="K111" s="28" t="str"/>
      <x:c r="L111" s="33" t="n">
        <x:v>9</x:v>
      </x:c>
      <x:c r="M111" s="33" t="str">
        <x:f>IF(E111="","CHỜ NHẬP","ĐÃ CÓ DỮ LIỆU")</x:f>
        <x:v>ĐÃ CÓ DỮ LIỆU</x:v>
      </x:c>
      <x:c r="N111" s="33" t="str">
        <x:f>IF(AND(B111="",E111=""),"",IF(A111="","THIẾU ID",IF(COUNTIF($A$8:$A$136,A111)&gt;1,"TRÙNG ID",IF(COUNTIF(HANG_MUC!$A$6:$A$50,B111)=0,"SAI HẠNG MỤC","OK"))))</x:f>
        <x:v>OK</x:v>
      </x:c>
    </x:row>
    <x:row r="112">
      <x:c r="A112" s="33" t="str">
        <x:f>IF(OR(B112="",D112=""),"",B112&amp;"-"&amp;IF(OR(C112="",C112="-"),"X",UPPER(C112))&amp;"-"&amp;TEXT(D112,"00"))</x:f>
        <x:v>DK-NU46-10K-X-03</x:v>
      </x:c>
      <x:c r="B112" s="26" t="str">
        <x:v>DK-NU46-10K</x:v>
      </x:c>
      <x:c r="C112" s="26" t="str">
        <x:v>-</x:v>
      </x:c>
      <x:c r="D112" s="35" t="n">
        <x:v>3</x:v>
      </x:c>
      <x:c r="E112" s="28" t="str">
        <x:v>Lê Thị Hương Giang</x:v>
      </x:c>
      <x:c r="F112" s="28" t="str"/>
      <x:c r="G112" s="28" t="str"/>
      <x:c r="H112" s="28" t="str"/>
      <x:c r="I112" s="28" t="str"/>
      <x:c r="J112" s="28" t="str">
        <x:v>PPS</x:v>
      </x:c>
      <x:c r="K112" s="28" t="str"/>
      <x:c r="L112" s="33" t="n">
        <x:v>9</x:v>
      </x:c>
      <x:c r="M112" s="33" t="str">
        <x:f>IF(E112="","CHỜ NHẬP","ĐÃ CÓ DỮ LIỆU")</x:f>
        <x:v>ĐÃ CÓ DỮ LIỆU</x:v>
      </x:c>
      <x:c r="N112" s="33" t="str">
        <x:f>IF(AND(B112="",E112=""),"",IF(A112="","THIẾU ID",IF(COUNTIF($A$8:$A$136,A112)&gt;1,"TRÙNG ID",IF(COUNTIF(HANG_MUC!$A$6:$A$50,B112)=0,"SAI HẠNG MỤC","OK"))))</x:f>
        <x:v>OK</x:v>
      </x:c>
    </x:row>
    <x:row r="113">
      <x:c r="A113" s="33" t="str">
        <x:f>IF(OR(B113="",D113=""),"",B113&amp;"-"&amp;IF(OR(C113="",C113="-"),"X",UPPER(C113))&amp;"-"&amp;TEXT(D113,"00"))</x:f>
        <x:v>DK-NU46-10K-X-04</x:v>
      </x:c>
      <x:c r="B113" s="26" t="str">
        <x:v>DK-NU46-10K</x:v>
      </x:c>
      <x:c r="C113" s="26" t="str">
        <x:v>-</x:v>
      </x:c>
      <x:c r="D113" s="35" t="n">
        <x:v>4</x:v>
      </x:c>
      <x:c r="E113" s="28" t="str">
        <x:v>Lê Thị Minh Phương</x:v>
      </x:c>
      <x:c r="F113" s="28" t="str"/>
      <x:c r="G113" s="28" t="str"/>
      <x:c r="H113" s="28" t="str"/>
      <x:c r="I113" s="28" t="str"/>
      <x:c r="J113" s="28" t="str">
        <x:v>POS</x:v>
      </x:c>
      <x:c r="K113" s="28" t="str"/>
      <x:c r="L113" s="33" t="n">
        <x:v>9</x:v>
      </x:c>
      <x:c r="M113" s="33" t="str">
        <x:f>IF(E113="","CHỜ NHẬP","ĐÃ CÓ DỮ LIỆU")</x:f>
        <x:v>ĐÃ CÓ DỮ LIỆU</x:v>
      </x:c>
      <x:c r="N113" s="33" t="str">
        <x:f>IF(AND(B113="",E113=""),"",IF(A113="","THIẾU ID",IF(COUNTIF($A$8:$A$136,A113)&gt;1,"TRÙNG ID",IF(COUNTIF(HANG_MUC!$A$6:$A$50,B113)=0,"SAI HẠNG MỤC","OK"))))</x:f>
        <x:v>OK</x:v>
      </x:c>
    </x:row>
    <x:row r="114">
      <x:c r="A114" s="33" t="str">
        <x:f>IF(OR(B114="",D114=""),"",B114&amp;"-"&amp;IF(OR(C114="",C114="-"),"X",UPPER(C114))&amp;"-"&amp;TEXT(D114,"00"))</x:f>
        <x:v>DK-NU46-10K-X-05</x:v>
      </x:c>
      <x:c r="B114" s="26" t="str">
        <x:v>DK-NU46-10K</x:v>
      </x:c>
      <x:c r="C114" s="26" t="str">
        <x:v>-</x:v>
      </x:c>
      <x:c r="D114" s="35" t="n">
        <x:v>5</x:v>
      </x:c>
      <x:c r="E114" s="28" t="str">
        <x:v>Trịnh Thị Thu</x:v>
      </x:c>
      <x:c r="F114" s="28" t="str"/>
      <x:c r="G114" s="28" t="str"/>
      <x:c r="H114" s="28" t="str"/>
      <x:c r="I114" s="28" t="str"/>
      <x:c r="J114" s="28" t="str">
        <x:v>PTSC Supply Base</x:v>
      </x:c>
      <x:c r="K114" s="28" t="str"/>
      <x:c r="L114" s="33" t="n">
        <x:v>9</x:v>
      </x:c>
      <x:c r="M114" s="33" t="str">
        <x:f>IF(E114="","CHỜ NHẬP","ĐÃ CÓ DỮ LIỆU")</x:f>
        <x:v>ĐÃ CÓ DỮ LIỆU</x:v>
      </x:c>
      <x:c r="N114" s="33" t="str">
        <x:f>IF(AND(B114="",E114=""),"",IF(A114="","THIẾU ID",IF(COUNTIF($A$8:$A$136,A114)&gt;1,"TRÙNG ID",IF(COUNTIF(HANG_MUC!$A$6:$A$50,B114)=0,"SAI HẠNG MỤC","OK"))))</x:f>
        <x:v>OK</x:v>
      </x:c>
    </x:row>
    <x:row r="115">
      <x:c r="A115" s="33" t="str">
        <x:f>IF(OR(B115="",D115=""),"",B115&amp;"-"&amp;IF(OR(C115="",C115="-"),"X",UPPER(C115))&amp;"-"&amp;TEXT(D115,"00"))</x:f>
        <x:v>DK-NU46-10K-X-06</x:v>
      </x:c>
      <x:c r="B115" s="26" t="str">
        <x:v>DK-NU46-10K</x:v>
      </x:c>
      <x:c r="C115" s="26" t="str">
        <x:v>-</x:v>
      </x:c>
      <x:c r="D115" s="35" t="n">
        <x:v>6</x:v>
      </x:c>
      <x:c r="E115" s="28" t="str">
        <x:v>Nguyễn Thị Tường Vi</x:v>
      </x:c>
      <x:c r="F115" s="28" t="str"/>
      <x:c r="G115" s="28" t="str"/>
      <x:c r="H115" s="28" t="str"/>
      <x:c r="I115" s="28" t="str"/>
      <x:c r="J115" s="28" t="str">
        <x:v>PTSC Quảng Ngãi</x:v>
      </x:c>
      <x:c r="K115" s="28" t="str"/>
      <x:c r="L115" s="33" t="n">
        <x:v>9</x:v>
      </x:c>
      <x:c r="M115" s="33" t="str">
        <x:f>IF(E115="","CHỜ NHẬP","ĐÃ CÓ DỮ LIỆU")</x:f>
        <x:v>ĐÃ CÓ DỮ LIỆU</x:v>
      </x:c>
      <x:c r="N115" s="33" t="str">
        <x:f>IF(AND(B115="",E115=""),"",IF(A115="","THIẾU ID",IF(COUNTIF($A$8:$A$136,A115)&gt;1,"TRÙNG ID",IF(COUNTIF(HANG_MUC!$A$6:$A$50,B115)=0,"SAI HẠNG MỤC","OK"))))</x:f>
        <x:v>OK</x:v>
      </x:c>
    </x:row>
    <x:row r="116">
      <x:c r="A116" s="33" t="str">
        <x:f>IF(OR(B116="",D116=""),"",B116&amp;"-"&amp;IF(OR(C116="",C116="-"),"X",UPPER(C116))&amp;"-"&amp;TEXT(D116,"00"))</x:f>
        <x:v>DK-NU46-10K-X-07</x:v>
      </x:c>
      <x:c r="B116" s="26" t="str">
        <x:v>DK-NU46-10K</x:v>
      </x:c>
      <x:c r="C116" s="26" t="str">
        <x:v>-</x:v>
      </x:c>
      <x:c r="D116" s="35" t="n">
        <x:v>7</x:v>
      </x:c>
      <x:c r="E116" s="28" t="str">
        <x:v>Vũ Thị Thanh Thuý</x:v>
      </x:c>
      <x:c r="F116" s="28" t="str"/>
      <x:c r="G116" s="28" t="str"/>
      <x:c r="H116" s="28" t="str"/>
      <x:c r="I116" s="28" t="str"/>
      <x:c r="J116" s="28" t="str">
        <x:v>PTSC G&amp;S</x:v>
      </x:c>
      <x:c r="K116" s="28" t="str"/>
      <x:c r="L116" s="33" t="n">
        <x:v>9</x:v>
      </x:c>
      <x:c r="M116" s="33" t="str">
        <x:f>IF(E116="","CHỜ NHẬP","ĐÃ CÓ DỮ LIỆU")</x:f>
        <x:v>ĐÃ CÓ DỮ LIỆU</x:v>
      </x:c>
      <x:c r="N116" s="33" t="str">
        <x:f>IF(AND(B116="",E116=""),"",IF(A116="","THIẾU ID",IF(COUNTIF($A$8:$A$136,A116)&gt;1,"TRÙNG ID",IF(COUNTIF(HANG_MUC!$A$6:$A$50,B116)=0,"SAI HẠNG MỤC","OK"))))</x:f>
        <x:v>OK</x:v>
      </x:c>
    </x:row>
    <x:row r="117">
      <x:c r="A117" s="33" t="str">
        <x:f>IF(OR(B117="",D117=""),"",B117&amp;"-"&amp;IF(OR(C117="",C117="-"),"X",UPPER(C117))&amp;"-"&amp;TEXT(D117,"00"))</x:f>
      </x:c>
      <x:c r="B117" s="26"/>
      <x:c r="C117" s="26"/>
      <x:c r="D117" s="35"/>
      <x:c r="E117" s="28"/>
      <x:c r="F117" s="28"/>
      <x:c r="G117" s="28"/>
      <x:c r="H117" s="28"/>
      <x:c r="I117" s="28"/>
      <x:c r="J117" s="28"/>
      <x:c r="K117" s="28"/>
      <x:c r="L117" s="33"/>
      <x:c r="M117" s="33" t="str">
        <x:f>IF(E117="","CHỜ NHẬP","ĐÃ CÓ DỮ LIỆU")</x:f>
        <x:v>CHỜ NHẬP</x:v>
      </x:c>
      <x:c r="N117" s="33" t="str">
        <x:f>IF(AND(B117="",E117=""),"",IF(A117="","THIẾU ID",IF(COUNTIF($A$8:$A$136,A117)&gt;1,"TRÙNG ID",IF(COUNTIF(HANG_MUC!$A$6:$A$50,B117)=0,"SAI HẠNG MỤC","OK"))))</x:f>
      </x:c>
    </x:row>
    <x:row r="118">
      <x:c r="A118" s="33" t="str">
        <x:f>IF(OR(B118="",D118=""),"",B118&amp;"-"&amp;IF(OR(C118="",C118="-"),"X",UPPER(C118))&amp;"-"&amp;TEXT(D118,"00"))</x:f>
      </x:c>
      <x:c r="B118" s="26"/>
      <x:c r="C118" s="26"/>
      <x:c r="D118" s="35"/>
      <x:c r="E118" s="28"/>
      <x:c r="F118" s="28"/>
      <x:c r="G118" s="28"/>
      <x:c r="H118" s="28"/>
      <x:c r="I118" s="28"/>
      <x:c r="J118" s="28"/>
      <x:c r="K118" s="28"/>
      <x:c r="L118" s="33"/>
      <x:c r="M118" s="33" t="str">
        <x:f>IF(E118="","CHỜ NHẬP","ĐÃ CÓ DỮ LIỆU")</x:f>
        <x:v>CHỜ NHẬP</x:v>
      </x:c>
      <x:c r="N118" s="33" t="str">
        <x:f>IF(AND(B118="",E118=""),"",IF(A118="","THIẾU ID",IF(COUNTIF($A$8:$A$136,A118)&gt;1,"TRÙNG ID",IF(COUNTIF(HANG_MUC!$A$6:$A$50,B118)=0,"SAI HẠNG MỤC","OK"))))</x:f>
      </x:c>
    </x:row>
    <x:row r="119">
      <x:c r="A119" s="33" t="str">
        <x:f>IF(OR(B119="",D119=""),"",B119&amp;"-"&amp;IF(OR(C119="",C119="-"),"X",UPPER(C119))&amp;"-"&amp;TEXT(D119,"00"))</x:f>
      </x:c>
      <x:c r="B119" s="26"/>
      <x:c r="C119" s="26"/>
      <x:c r="D119" s="35"/>
      <x:c r="E119" s="28"/>
      <x:c r="F119" s="28"/>
      <x:c r="G119" s="28"/>
      <x:c r="H119" s="28"/>
      <x:c r="I119" s="28"/>
      <x:c r="J119" s="28"/>
      <x:c r="K119" s="28"/>
      <x:c r="L119" s="33"/>
      <x:c r="M119" s="33" t="str">
        <x:f>IF(E119="","CHỜ NHẬP","ĐÃ CÓ DỮ LIỆU")</x:f>
        <x:v>CHỜ NHẬP</x:v>
      </x:c>
      <x:c r="N119" s="33" t="str">
        <x:f>IF(AND(B119="",E119=""),"",IF(A119="","THIẾU ID",IF(COUNTIF($A$8:$A$136,A119)&gt;1,"TRÙNG ID",IF(COUNTIF(HANG_MUC!$A$6:$A$50,B119)=0,"SAI HẠNG MỤC","OK"))))</x:f>
      </x:c>
    </x:row>
    <x:row r="120">
      <x:c r="A120" s="33" t="str">
        <x:f>IF(OR(B120="",D120=""),"",B120&amp;"-"&amp;IF(OR(C120="",C120="-"),"X",UPPER(C120))&amp;"-"&amp;TEXT(D120,"00"))</x:f>
      </x:c>
      <x:c r="B120" s="26"/>
      <x:c r="C120" s="26"/>
      <x:c r="D120" s="35"/>
      <x:c r="E120" s="28"/>
      <x:c r="F120" s="28"/>
      <x:c r="G120" s="28"/>
      <x:c r="H120" s="28"/>
      <x:c r="I120" s="28"/>
      <x:c r="J120" s="28"/>
      <x:c r="K120" s="28"/>
      <x:c r="L120" s="33"/>
      <x:c r="M120" s="33" t="str">
        <x:f>IF(E120="","CHỜ NHẬP","ĐÃ CÓ DỮ LIỆU")</x:f>
        <x:v>CHỜ NHẬP</x:v>
      </x:c>
      <x:c r="N120" s="33" t="str">
        <x:f>IF(AND(B120="",E120=""),"",IF(A120="","THIẾU ID",IF(COUNTIF($A$8:$A$136,A120)&gt;1,"TRÙNG ID",IF(COUNTIF(HANG_MUC!$A$6:$A$50,B120)=0,"SAI HẠNG MỤC","OK"))))</x:f>
      </x:c>
    </x:row>
    <x:row r="121">
      <x:c r="A121" s="33" t="str">
        <x:f>IF(OR(B121="",D121=""),"",B121&amp;"-"&amp;IF(OR(C121="",C121="-"),"X",UPPER(C121))&amp;"-"&amp;TEXT(D121,"00"))</x:f>
      </x:c>
      <x:c r="B121" s="26"/>
      <x:c r="C121" s="26"/>
      <x:c r="D121" s="35"/>
      <x:c r="E121" s="28"/>
      <x:c r="F121" s="28"/>
      <x:c r="G121" s="28"/>
      <x:c r="H121" s="28"/>
      <x:c r="I121" s="28"/>
      <x:c r="J121" s="28"/>
      <x:c r="K121" s="28"/>
      <x:c r="L121" s="33"/>
      <x:c r="M121" s="33" t="str">
        <x:f>IF(E121="","CHỜ NHẬP","ĐÃ CÓ DỮ LIỆU")</x:f>
        <x:v>CHỜ NHẬP</x:v>
      </x:c>
      <x:c r="N121" s="33" t="str">
        <x:f>IF(AND(B121="",E121=""),"",IF(A121="","THIẾU ID",IF(COUNTIF($A$8:$A$136,A121)&gt;1,"TRÙNG ID",IF(COUNTIF(HANG_MUC!$A$6:$A$50,B121)=0,"SAI HẠNG MỤC","OK"))))</x:f>
      </x:c>
    </x:row>
    <x:row r="122">
      <x:c r="A122" s="33" t="str">
        <x:f>IF(OR(B122="",D122=""),"",B122&amp;"-"&amp;IF(OR(C122="",C122="-"),"X",UPPER(C122))&amp;"-"&amp;TEXT(D122,"00"))</x:f>
      </x:c>
      <x:c r="B122" s="26"/>
      <x:c r="C122" s="26"/>
      <x:c r="D122" s="35"/>
      <x:c r="E122" s="28"/>
      <x:c r="F122" s="28"/>
      <x:c r="G122" s="28"/>
      <x:c r="H122" s="28"/>
      <x:c r="I122" s="28"/>
      <x:c r="J122" s="28"/>
      <x:c r="K122" s="28"/>
      <x:c r="L122" s="33"/>
      <x:c r="M122" s="33" t="str">
        <x:f>IF(E122="","CHỜ NHẬP","ĐÃ CÓ DỮ LIỆU")</x:f>
        <x:v>CHỜ NHẬP</x:v>
      </x:c>
      <x:c r="N122" s="33" t="str">
        <x:f>IF(AND(B122="",E122=""),"",IF(A122="","THIẾU ID",IF(COUNTIF($A$8:$A$136,A122)&gt;1,"TRÙNG ID",IF(COUNTIF(HANG_MUC!$A$6:$A$50,B122)=0,"SAI HẠNG MỤC","OK"))))</x:f>
      </x:c>
    </x:row>
    <x:row r="123">
      <x:c r="A123" s="33" t="str">
        <x:f>IF(OR(B123="",D123=""),"",B123&amp;"-"&amp;IF(OR(C123="",C123="-"),"X",UPPER(C123))&amp;"-"&amp;TEXT(D123,"00"))</x:f>
      </x:c>
      <x:c r="B123" s="26"/>
      <x:c r="C123" s="26"/>
      <x:c r="D123" s="35"/>
      <x:c r="E123" s="28"/>
      <x:c r="F123" s="28"/>
      <x:c r="G123" s="28"/>
      <x:c r="H123" s="28"/>
      <x:c r="I123" s="28"/>
      <x:c r="J123" s="28"/>
      <x:c r="K123" s="28"/>
      <x:c r="L123" s="33"/>
      <x:c r="M123" s="33" t="str">
        <x:f>IF(E123="","CHỜ NHẬP","ĐÃ CÓ DỮ LIỆU")</x:f>
        <x:v>CHỜ NHẬP</x:v>
      </x:c>
      <x:c r="N123" s="33" t="str">
        <x:f>IF(AND(B123="",E123=""),"",IF(A123="","THIẾU ID",IF(COUNTIF($A$8:$A$136,A123)&gt;1,"TRÙNG ID",IF(COUNTIF(HANG_MUC!$A$6:$A$50,B123)=0,"SAI HẠNG MỤC","OK"))))</x:f>
      </x:c>
    </x:row>
    <x:row r="124">
      <x:c r="A124" s="33" t="str">
        <x:f>IF(OR(B124="",D124=""),"",B124&amp;"-"&amp;IF(OR(C124="",C124="-"),"X",UPPER(C124))&amp;"-"&amp;TEXT(D124,"00"))</x:f>
      </x:c>
      <x:c r="B124" s="26"/>
      <x:c r="C124" s="26"/>
      <x:c r="D124" s="35"/>
      <x:c r="E124" s="28"/>
      <x:c r="F124" s="28"/>
      <x:c r="G124" s="28"/>
      <x:c r="H124" s="28"/>
      <x:c r="I124" s="28"/>
      <x:c r="J124" s="28"/>
      <x:c r="K124" s="28"/>
      <x:c r="L124" s="33"/>
      <x:c r="M124" s="33" t="str">
        <x:f>IF(E124="","CHỜ NHẬP","ĐÃ CÓ DỮ LIỆU")</x:f>
        <x:v>CHỜ NHẬP</x:v>
      </x:c>
      <x:c r="N124" s="33" t="str">
        <x:f>IF(AND(B124="",E124=""),"",IF(A124="","THIẾU ID",IF(COUNTIF($A$8:$A$136,A124)&gt;1,"TRÙNG ID",IF(COUNTIF(HANG_MUC!$A$6:$A$50,B124)=0,"SAI HẠNG MỤC","OK"))))</x:f>
      </x:c>
    </x:row>
    <x:row r="125">
      <x:c r="A125" s="33" t="str">
        <x:f>IF(OR(B125="",D125=""),"",B125&amp;"-"&amp;IF(OR(C125="",C125="-"),"X",UPPER(C125))&amp;"-"&amp;TEXT(D125,"00"))</x:f>
      </x:c>
      <x:c r="B125" s="26"/>
      <x:c r="C125" s="26"/>
      <x:c r="D125" s="35"/>
      <x:c r="E125" s="28"/>
      <x:c r="F125" s="28"/>
      <x:c r="G125" s="28"/>
      <x:c r="H125" s="28"/>
      <x:c r="I125" s="28"/>
      <x:c r="J125" s="28"/>
      <x:c r="K125" s="28"/>
      <x:c r="L125" s="33"/>
      <x:c r="M125" s="33" t="str">
        <x:f>IF(E125="","CHỜ NHẬP","ĐÃ CÓ DỮ LIỆU")</x:f>
        <x:v>CHỜ NHẬP</x:v>
      </x:c>
      <x:c r="N125" s="33" t="str">
        <x:f>IF(AND(B125="",E125=""),"",IF(A125="","THIẾU ID",IF(COUNTIF($A$8:$A$136,A125)&gt;1,"TRÙNG ID",IF(COUNTIF(HANG_MUC!$A$6:$A$50,B125)=0,"SAI HẠNG MỤC","OK"))))</x:f>
      </x:c>
    </x:row>
    <x:row r="126">
      <x:c r="A126" s="33" t="str">
        <x:f>IF(OR(B126="",D126=""),"",B126&amp;"-"&amp;IF(OR(C126="",C126="-"),"X",UPPER(C126))&amp;"-"&amp;TEXT(D126,"00"))</x:f>
      </x:c>
      <x:c r="B126" s="26"/>
      <x:c r="C126" s="26"/>
      <x:c r="D126" s="35"/>
      <x:c r="E126" s="28"/>
      <x:c r="F126" s="28"/>
      <x:c r="G126" s="28"/>
      <x:c r="H126" s="28"/>
      <x:c r="I126" s="28"/>
      <x:c r="J126" s="28"/>
      <x:c r="K126" s="28"/>
      <x:c r="L126" s="33"/>
      <x:c r="M126" s="33" t="str">
        <x:f>IF(E126="","CHỜ NHẬP","ĐÃ CÓ DỮ LIỆU")</x:f>
        <x:v>CHỜ NHẬP</x:v>
      </x:c>
      <x:c r="N126" s="33" t="str">
        <x:f>IF(AND(B126="",E126=""),"",IF(A126="","THIẾU ID",IF(COUNTIF($A$8:$A$136,A126)&gt;1,"TRÙNG ID",IF(COUNTIF(HANG_MUC!$A$6:$A$50,B126)=0,"SAI HẠNG MỤC","OK"))))</x:f>
      </x:c>
    </x:row>
    <x:row r="127">
      <x:c r="A127" s="33" t="str">
        <x:f>IF(OR(B127="",D127=""),"",B127&amp;"-"&amp;IF(OR(C127="",C127="-"),"X",UPPER(C127))&amp;"-"&amp;TEXT(D127,"00"))</x:f>
      </x:c>
      <x:c r="B127" s="26"/>
      <x:c r="C127" s="26"/>
      <x:c r="D127" s="35"/>
      <x:c r="E127" s="28"/>
      <x:c r="F127" s="28"/>
      <x:c r="G127" s="28"/>
      <x:c r="H127" s="28"/>
      <x:c r="I127" s="28"/>
      <x:c r="J127" s="28"/>
      <x:c r="K127" s="28"/>
      <x:c r="L127" s="33"/>
      <x:c r="M127" s="33" t="str">
        <x:f>IF(E127="","CHỜ NHẬP","ĐÃ CÓ DỮ LIỆU")</x:f>
        <x:v>CHỜ NHẬP</x:v>
      </x:c>
      <x:c r="N127" s="33" t="str">
        <x:f>IF(AND(B127="",E127=""),"",IF(A127="","THIẾU ID",IF(COUNTIF($A$8:$A$136,A127)&gt;1,"TRÙNG ID",IF(COUNTIF(HANG_MUC!$A$6:$A$50,B127)=0,"SAI HẠNG MỤC","OK"))))</x:f>
      </x:c>
    </x:row>
    <x:row r="128">
      <x:c r="A128" s="33" t="str">
        <x:f>IF(OR(B128="",D128=""),"",B128&amp;"-"&amp;IF(OR(C128="",C128="-"),"X",UPPER(C128))&amp;"-"&amp;TEXT(D128,"00"))</x:f>
      </x:c>
      <x:c r="B128" s="26"/>
      <x:c r="C128" s="26"/>
      <x:c r="D128" s="35"/>
      <x:c r="E128" s="28"/>
      <x:c r="F128" s="28"/>
      <x:c r="G128" s="28"/>
      <x:c r="H128" s="28"/>
      <x:c r="I128" s="28"/>
      <x:c r="J128" s="28"/>
      <x:c r="K128" s="28"/>
      <x:c r="L128" s="33"/>
      <x:c r="M128" s="33" t="str">
        <x:f>IF(E128="","CHỜ NHẬP","ĐÃ CÓ DỮ LIỆU")</x:f>
        <x:v>CHỜ NHẬP</x:v>
      </x:c>
      <x:c r="N128" s="33" t="str">
        <x:f>IF(AND(B128="",E128=""),"",IF(A128="","THIẾU ID",IF(COUNTIF($A$8:$A$136,A128)&gt;1,"TRÙNG ID",IF(COUNTIF(HANG_MUC!$A$6:$A$50,B128)=0,"SAI HẠNG MỤC","OK"))))</x:f>
      </x:c>
    </x:row>
    <x:row r="129">
      <x:c r="A129" s="33" t="str">
        <x:f>IF(OR(B129="",D129=""),"",B129&amp;"-"&amp;IF(OR(C129="",C129="-"),"X",UPPER(C129))&amp;"-"&amp;TEXT(D129,"00"))</x:f>
      </x:c>
      <x:c r="B129" s="26"/>
      <x:c r="C129" s="26"/>
      <x:c r="D129" s="35"/>
      <x:c r="E129" s="28"/>
      <x:c r="F129" s="28"/>
      <x:c r="G129" s="28"/>
      <x:c r="H129" s="28"/>
      <x:c r="I129" s="28"/>
      <x:c r="J129" s="28"/>
      <x:c r="K129" s="28"/>
      <x:c r="L129" s="33"/>
      <x:c r="M129" s="33" t="str">
        <x:f>IF(E129="","CHỜ NHẬP","ĐÃ CÓ DỮ LIỆU")</x:f>
        <x:v>CHỜ NHẬP</x:v>
      </x:c>
      <x:c r="N129" s="33" t="str">
        <x:f>IF(AND(B129="",E129=""),"",IF(A129="","THIẾU ID",IF(COUNTIF($A$8:$A$136,A129)&gt;1,"TRÙNG ID",IF(COUNTIF(HANG_MUC!$A$6:$A$50,B129)=0,"SAI HẠNG MỤC","OK"))))</x:f>
      </x:c>
    </x:row>
    <x:row r="130">
      <x:c r="A130" s="33" t="str">
        <x:f>IF(OR(B130="",D130=""),"",B130&amp;"-"&amp;IF(OR(C130="",C130="-"),"X",UPPER(C130))&amp;"-"&amp;TEXT(D130,"00"))</x:f>
      </x:c>
      <x:c r="B130" s="26"/>
      <x:c r="C130" s="26"/>
      <x:c r="D130" s="35"/>
      <x:c r="E130" s="28"/>
      <x:c r="F130" s="28"/>
      <x:c r="G130" s="28"/>
      <x:c r="H130" s="28"/>
      <x:c r="I130" s="28"/>
      <x:c r="J130" s="28"/>
      <x:c r="K130" s="28"/>
      <x:c r="L130" s="33"/>
      <x:c r="M130" s="33" t="str">
        <x:f>IF(E130="","CHỜ NHẬP","ĐÃ CÓ DỮ LIỆU")</x:f>
        <x:v>CHỜ NHẬP</x:v>
      </x:c>
      <x:c r="N130" s="33" t="str">
        <x:f>IF(AND(B130="",E130=""),"",IF(A130="","THIẾU ID",IF(COUNTIF($A$8:$A$136,A130)&gt;1,"TRÙNG ID",IF(COUNTIF(HANG_MUC!$A$6:$A$50,B130)=0,"SAI HẠNG MỤC","OK"))))</x:f>
      </x:c>
    </x:row>
    <x:row r="131">
      <x:c r="A131" s="33" t="str">
        <x:f>IF(OR(B131="",D131=""),"",B131&amp;"-"&amp;IF(OR(C131="",C131="-"),"X",UPPER(C131))&amp;"-"&amp;TEXT(D131,"00"))</x:f>
      </x:c>
      <x:c r="B131" s="26"/>
      <x:c r="C131" s="26"/>
      <x:c r="D131" s="35"/>
      <x:c r="E131" s="28"/>
      <x:c r="F131" s="28"/>
      <x:c r="G131" s="28"/>
      <x:c r="H131" s="28"/>
      <x:c r="I131" s="28"/>
      <x:c r="J131" s="28"/>
      <x:c r="K131" s="28"/>
      <x:c r="L131" s="33"/>
      <x:c r="M131" s="33" t="str">
        <x:f>IF(E131="","CHỜ NHẬP","ĐÃ CÓ DỮ LIỆU")</x:f>
        <x:v>CHỜ NHẬP</x:v>
      </x:c>
      <x:c r="N131" s="33" t="str">
        <x:f>IF(AND(B131="",E131=""),"",IF(A131="","THIẾU ID",IF(COUNTIF($A$8:$A$136,A131)&gt;1,"TRÙNG ID",IF(COUNTIF(HANG_MUC!$A$6:$A$50,B131)=0,"SAI HẠNG MỤC","OK"))))</x:f>
      </x:c>
    </x:row>
    <x:row r="132">
      <x:c r="A132" s="33" t="str">
        <x:f>IF(OR(B132="",D132=""),"",B132&amp;"-"&amp;IF(OR(C132="",C132="-"),"X",UPPER(C132))&amp;"-"&amp;TEXT(D132,"00"))</x:f>
      </x:c>
      <x:c r="B132" s="26"/>
      <x:c r="C132" s="26"/>
      <x:c r="D132" s="35"/>
      <x:c r="E132" s="28"/>
      <x:c r="F132" s="28"/>
      <x:c r="G132" s="28"/>
      <x:c r="H132" s="28"/>
      <x:c r="I132" s="28"/>
      <x:c r="J132" s="28"/>
      <x:c r="K132" s="28"/>
      <x:c r="L132" s="33"/>
      <x:c r="M132" s="33" t="str">
        <x:f>IF(E132="","CHỜ NHẬP","ĐÃ CÓ DỮ LIỆU")</x:f>
        <x:v>CHỜ NHẬP</x:v>
      </x:c>
      <x:c r="N132" s="33" t="str">
        <x:f>IF(AND(B132="",E132=""),"",IF(A132="","THIẾU ID",IF(COUNTIF($A$8:$A$136,A132)&gt;1,"TRÙNG ID",IF(COUNTIF(HANG_MUC!$A$6:$A$50,B132)=0,"SAI HẠNG MỤC","OK"))))</x:f>
      </x:c>
    </x:row>
    <x:row r="133">
      <x:c r="A133" s="33" t="str">
        <x:f>IF(OR(B133="",D133=""),"",B133&amp;"-"&amp;IF(OR(C133="",C133="-"),"X",UPPER(C133))&amp;"-"&amp;TEXT(D133,"00"))</x:f>
      </x:c>
      <x:c r="B133" s="26"/>
      <x:c r="C133" s="26"/>
      <x:c r="D133" s="35"/>
      <x:c r="E133" s="28"/>
      <x:c r="F133" s="28"/>
      <x:c r="G133" s="28"/>
      <x:c r="H133" s="28"/>
      <x:c r="I133" s="28"/>
      <x:c r="J133" s="28"/>
      <x:c r="K133" s="28"/>
      <x:c r="L133" s="33"/>
      <x:c r="M133" s="33" t="str">
        <x:f>IF(E133="","CHỜ NHẬP","ĐÃ CÓ DỮ LIỆU")</x:f>
        <x:v>CHỜ NHẬP</x:v>
      </x:c>
      <x:c r="N133" s="33" t="str">
        <x:f>IF(AND(B133="",E133=""),"",IF(A133="","THIẾU ID",IF(COUNTIF($A$8:$A$136,A133)&gt;1,"TRÙNG ID",IF(COUNTIF(HANG_MUC!$A$6:$A$50,B133)=0,"SAI HẠNG MỤC","OK"))))</x:f>
      </x:c>
    </x:row>
    <x:row r="134">
      <x:c r="A134" s="33" t="str">
        <x:f>IF(OR(B134="",D134=""),"",B134&amp;"-"&amp;IF(OR(C134="",C134="-"),"X",UPPER(C134))&amp;"-"&amp;TEXT(D134,"00"))</x:f>
      </x:c>
      <x:c r="B134" s="26"/>
      <x:c r="C134" s="26"/>
      <x:c r="D134" s="35"/>
      <x:c r="E134" s="28"/>
      <x:c r="F134" s="28"/>
      <x:c r="G134" s="28"/>
      <x:c r="H134" s="28"/>
      <x:c r="I134" s="28"/>
      <x:c r="J134" s="28"/>
      <x:c r="K134" s="28"/>
      <x:c r="L134" s="33"/>
      <x:c r="M134" s="33" t="str">
        <x:f>IF(E134="","CHỜ NHẬP","ĐÃ CÓ DỮ LIỆU")</x:f>
        <x:v>CHỜ NHẬP</x:v>
      </x:c>
      <x:c r="N134" s="33" t="str">
        <x:f>IF(AND(B134="",E134=""),"",IF(A134="","THIẾU ID",IF(COUNTIF($A$8:$A$136,A134)&gt;1,"TRÙNG ID",IF(COUNTIF(HANG_MUC!$A$6:$A$50,B134)=0,"SAI HẠNG MỤC","OK"))))</x:f>
      </x:c>
    </x:row>
    <x:row r="135">
      <x:c r="A135" s="33" t="str">
        <x:f>IF(OR(B135="",D135=""),"",B135&amp;"-"&amp;IF(OR(C135="",C135="-"),"X",UPPER(C135))&amp;"-"&amp;TEXT(D135,"00"))</x:f>
      </x:c>
      <x:c r="B135" s="26"/>
      <x:c r="C135" s="26"/>
      <x:c r="D135" s="35"/>
      <x:c r="E135" s="28"/>
      <x:c r="F135" s="28"/>
      <x:c r="G135" s="28"/>
      <x:c r="H135" s="28"/>
      <x:c r="I135" s="28"/>
      <x:c r="J135" s="28"/>
      <x:c r="K135" s="28"/>
      <x:c r="L135" s="33"/>
      <x:c r="M135" s="33" t="str">
        <x:f>IF(E135="","CHỜ NHẬP","ĐÃ CÓ DỮ LIỆU")</x:f>
        <x:v>CHỜ NHẬP</x:v>
      </x:c>
      <x:c r="N135" s="33" t="str">
        <x:f>IF(AND(B135="",E135=""),"",IF(A135="","THIẾU ID",IF(COUNTIF($A$8:$A$136,A135)&gt;1,"TRÙNG ID",IF(COUNTIF(HANG_MUC!$A$6:$A$50,B135)=0,"SAI HẠNG MỤC","OK"))))</x:f>
      </x:c>
    </x:row>
    <x:row r="136">
      <x:c r="A136" s="33" t="str">
        <x:f>IF(OR(B136="",D136=""),"",B136&amp;"-"&amp;IF(OR(C136="",C136="-"),"X",UPPER(C136))&amp;"-"&amp;TEXT(D136,"00"))</x:f>
      </x:c>
      <x:c r="B136" s="26"/>
      <x:c r="C136" s="26"/>
      <x:c r="D136" s="35"/>
      <x:c r="E136" s="28"/>
      <x:c r="F136" s="28"/>
      <x:c r="G136" s="28"/>
      <x:c r="H136" s="28"/>
      <x:c r="I136" s="28"/>
      <x:c r="J136" s="28"/>
      <x:c r="K136" s="28"/>
      <x:c r="L136" s="33"/>
      <x:c r="M136" s="33" t="str">
        <x:f>IF(E136="","CHỜ NHẬP","ĐÃ CÓ DỮ LIỆU")</x:f>
        <x:v>CHỜ NHẬP</x:v>
      </x:c>
      <x:c r="N136" s="33" t="str">
        <x:f>IF(AND(B136="",E136=""),"",IF(A136="","THIẾU ID",IF(COUNTIF($A$8:$A$136,A136)&gt;1,"TRÙNG ID",IF(COUNTIF(HANG_MUC!$A$6:$A$50,B136)=0,"SAI HẠNG MỤC","OK"))))</x:f>
      </x:c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136">
    <x:cfRule type="containsText" dxfId="31" priority="1" operator="containsText" text="TRÙNG"/>
    <x:cfRule type="containsText" dxfId="32" priority="2" operator="containsText" text="SAI"/>
    <x:cfRule type="containsText" dxfId="33" priority="3" operator="containsText" text="THIẾU"/>
    <x:cfRule type="containsText" dxfId="34" priority="4" operator="containsText" text="OK"/>
  </x:conditionalFormatting>
  <x:conditionalFormatting sqref="M8:M136">
    <x:cfRule type="containsText" dxfId="35" priority="5" operator="containsText" text="CHỜ"/>
  </x:conditionalFormatting>
  <x:dataValidations count="3">
    <x:dataValidation type="list" sqref="B8:B136">
      <x:formula1>HANG_MUC!$A$25:$A$33</x:formula1>
    </x:dataValidation>
    <x:dataValidation type="list" sqref="C8:C136">
      <x:formula1>"-,A,B,C,D,E,F,G,H"</x:formula1>
    </x:dataValidation>
    <x:dataValidation type="whole" operator="between" sqref="D8:D136">
      <x:formula1>1</x:formula1>
      <x:formula2>999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Kéo co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KC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KC-DONGDOI-X-01</x:v>
      </x:c>
      <x:c r="B8" s="24" t="str">
        <x:v>KC-DONGDOI</x:v>
      </x:c>
      <x:c r="C8" s="24" t="str">
        <x:v>-</x:v>
      </x:c>
      <x:c r="D8" s="34" t="n">
        <x:v>1</x:v>
      </x:c>
      <x:c r="E8" s="27" t="str">
        <x:v>PTSC Supply Base</x:v>
      </x:c>
      <x:c r="F8" s="27" t="str"/>
      <x:c r="G8" s="27" t="str"/>
      <x:c r="H8" s="27" t="str"/>
      <x:c r="I8" s="27" t="str"/>
      <x:c r="J8" s="27" t="str"/>
      <x:c r="K8" s="27" t="str">
        <x:v>Vị trí nhánh 1</x:v>
      </x:c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ID",IF(COUNTIF($A$8:$A$43,A8)&gt;1,"TRÙNG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KC-DONGDOI-X-02</x:v>
      </x:c>
      <x:c r="B9" s="26" t="str">
        <x:v>KC-DONGDOI</x:v>
      </x:c>
      <x:c r="C9" s="26" t="str">
        <x:v>-</x:v>
      </x:c>
      <x:c r="D9" s="35" t="n">
        <x:v>2</x:v>
      </x:c>
      <x:c r="E9" s="28" t="str">
        <x:v>POS</x:v>
      </x:c>
      <x:c r="F9" s="28" t="str"/>
      <x:c r="G9" s="28" t="str"/>
      <x:c r="H9" s="28" t="str"/>
      <x:c r="I9" s="28" t="str"/>
      <x:c r="J9" s="28" t="str"/>
      <x:c r="K9" s="28" t="str">
        <x:v>Vị trí nhánh 2</x:v>
      </x:c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ID",IF(COUNTIF($A$8:$A$43,A9)&gt;1,"TRÙNG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KC-DONGDOI-X-03</x:v>
      </x:c>
      <x:c r="B10" s="26" t="str">
        <x:v>KC-DONGDOI</x:v>
      </x:c>
      <x:c r="C10" s="26" t="str">
        <x:v>-</x:v>
      </x:c>
      <x:c r="D10" s="35" t="n">
        <x:v>3</x:v>
      </x:c>
      <x:c r="E10" s="28" t="str">
        <x:v>PTSC Marine</x:v>
      </x:c>
      <x:c r="F10" s="28" t="str"/>
      <x:c r="G10" s="28" t="str"/>
      <x:c r="H10" s="28" t="str"/>
      <x:c r="I10" s="28" t="str"/>
      <x:c r="J10" s="28" t="str"/>
      <x:c r="K10" s="28" t="str">
        <x:v>Vị trí nhánh 3</x:v>
      </x:c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ID",IF(COUNTIF($A$8:$A$43,A10)&gt;1,"TRÙNG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KC-DONGDOI-X-04</x:v>
      </x:c>
      <x:c r="B11" s="26" t="str">
        <x:v>KC-DONGDOI</x:v>
      </x:c>
      <x:c r="C11" s="26" t="str">
        <x:v>-</x:v>
      </x:c>
      <x:c r="D11" s="35" t="n">
        <x:v>4</x:v>
      </x:c>
      <x:c r="E11" s="28" t="str">
        <x:v>PV Shipyard</x:v>
      </x:c>
      <x:c r="F11" s="28" t="str"/>
      <x:c r="G11" s="28" t="str"/>
      <x:c r="H11" s="28" t="str"/>
      <x:c r="I11" s="28" t="str"/>
      <x:c r="J11" s="28" t="str"/>
      <x:c r="K11" s="28" t="str">
        <x:v>Vị trí nhánh 4</x:v>
      </x:c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ID",IF(COUNTIF($A$8:$A$43,A11)&gt;1,"TRÙNG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KC-DONGDOI-X-05</x:v>
      </x:c>
      <x:c r="B12" s="26" t="str">
        <x:v>KC-DONGDOI</x:v>
      </x:c>
      <x:c r="C12" s="26" t="str">
        <x:v>-</x:v>
      </x:c>
      <x:c r="D12" s="35" t="n">
        <x:v>5</x:v>
      </x:c>
      <x:c r="E12" s="28" t="str">
        <x:v>Petro Hotel</x:v>
      </x:c>
      <x:c r="F12" s="28" t="str"/>
      <x:c r="G12" s="28" t="str"/>
      <x:c r="H12" s="28" t="str"/>
      <x:c r="I12" s="28" t="str"/>
      <x:c r="J12" s="28" t="str"/>
      <x:c r="K12" s="28" t="str">
        <x:v>Vị trí nhánh 5</x:v>
      </x:c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ID",IF(COUNTIF($A$8:$A$43,A12)&gt;1,"TRÙNG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KC-DONGDOI-X-06</x:v>
      </x:c>
      <x:c r="B13" s="26" t="str">
        <x:v>KC-DONGDOI</x:v>
      </x:c>
      <x:c r="C13" s="26" t="str">
        <x:v>-</x:v>
      </x:c>
      <x:c r="D13" s="35" t="n">
        <x:v>6</x:v>
      </x:c>
      <x:c r="E13" s="28" t="str">
        <x:v>PPS</x:v>
      </x:c>
      <x:c r="F13" s="28" t="str"/>
      <x:c r="G13" s="28" t="str"/>
      <x:c r="H13" s="28" t="str"/>
      <x:c r="I13" s="28" t="str"/>
      <x:c r="J13" s="28" t="str"/>
      <x:c r="K13" s="28" t="str">
        <x:v>Vị trí nhánh 6</x:v>
      </x:c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ID",IF(COUNTIF($A$8:$A$43,A13)&gt;1,"TRÙNG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KC-DONGDOI-X-07</x:v>
      </x:c>
      <x:c r="B14" s="26" t="str">
        <x:v>KC-DONGDOI</x:v>
      </x:c>
      <x:c r="C14" s="26" t="str">
        <x:v>-</x:v>
      </x:c>
      <x:c r="D14" s="35" t="n">
        <x:v>7</x:v>
      </x:c>
      <x:c r="E14" s="28" t="str">
        <x:v>PTSC HQ</x:v>
      </x:c>
      <x:c r="F14" s="28" t="str"/>
      <x:c r="G14" s="28" t="str"/>
      <x:c r="H14" s="28" t="str"/>
      <x:c r="I14" s="28" t="str"/>
      <x:c r="J14" s="28" t="str"/>
      <x:c r="K14" s="28" t="str">
        <x:v>Vị trí nhánh 7</x:v>
      </x:c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ID",IF(COUNTIF($A$8:$A$43,A14)&gt;1,"TRÙNG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KC-DONGDOI-X-08</x:v>
      </x:c>
      <x:c r="B15" s="26" t="str">
        <x:v>KC-DONGDOI</x:v>
      </x:c>
      <x:c r="C15" s="26" t="str">
        <x:v>-</x:v>
      </x:c>
      <x:c r="D15" s="35" t="n">
        <x:v>8</x:v>
      </x:c>
      <x:c r="E15" s="28" t="str">
        <x:v>PTSC Phú Mỹ</x:v>
      </x:c>
      <x:c r="F15" s="28" t="str"/>
      <x:c r="G15" s="28" t="str"/>
      <x:c r="H15" s="28" t="str"/>
      <x:c r="I15" s="28" t="str"/>
      <x:c r="J15" s="28" t="str"/>
      <x:c r="K15" s="28" t="str">
        <x:v>Vị trí nhánh 8</x:v>
      </x:c>
      <x:c r="L15" s="33" t="n">
        <x:v>1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ID",IF(COUNTIF($A$8:$A$43,A15)&gt;1,"TRÙNG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KC-DONGDOI-X-09</x:v>
      </x:c>
      <x:c r="B16" s="26" t="str">
        <x:v>KC-DONGDOI</x:v>
      </x:c>
      <x:c r="C16" s="26" t="str">
        <x:v>-</x:v>
      </x:c>
      <x:c r="D16" s="35" t="n">
        <x:v>9</x:v>
      </x:c>
      <x:c r="E16" s="28" t="str">
        <x:v>PTSC Đình Vũ</x:v>
      </x:c>
      <x:c r="F16" s="28" t="str"/>
      <x:c r="G16" s="28" t="str"/>
      <x:c r="H16" s="28" t="str"/>
      <x:c r="I16" s="28" t="str"/>
      <x:c r="J16" s="28" t="str"/>
      <x:c r="K16" s="28" t="str">
        <x:v>Vị trí nhánh 9</x:v>
      </x:c>
      <x:c r="L16" s="33" t="n">
        <x:v>1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ID",IF(COUNTIF($A$8:$A$43,A16)&gt;1,"TRÙNG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KC-DONGDOI-X-10</x:v>
      </x:c>
      <x:c r="B17" s="26" t="str">
        <x:v>KC-DONGDOI</x:v>
      </x:c>
      <x:c r="C17" s="26" t="str">
        <x:v>-</x:v>
      </x:c>
      <x:c r="D17" s="35" t="n">
        <x:v>10</x:v>
      </x:c>
      <x:c r="E17" s="28" t="str">
        <x:v>PTSC Quảng Ngãi</x:v>
      </x:c>
      <x:c r="F17" s="28" t="str"/>
      <x:c r="G17" s="28" t="str"/>
      <x:c r="H17" s="28" t="str"/>
      <x:c r="I17" s="28" t="str"/>
      <x:c r="J17" s="28" t="str"/>
      <x:c r="K17" s="28" t="str">
        <x:v>Vị trí nhánh 10</x:v>
      </x:c>
      <x:c r="L17" s="33" t="n">
        <x:v>1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ID",IF(COUNTIF($A$8:$A$43,A17)&gt;1,"TRÙNG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KC-DONGDOI-X-11</x:v>
      </x:c>
      <x:c r="B18" s="26" t="str">
        <x:v>KC-DONGDOI</x:v>
      </x:c>
      <x:c r="C18" s="26" t="str">
        <x:v>-</x:v>
      </x:c>
      <x:c r="D18" s="35" t="n">
        <x:v>11</x:v>
      </x:c>
      <x:c r="E18" s="28" t="str">
        <x:v>PTSC Thanh Hóa</x:v>
      </x:c>
      <x:c r="F18" s="28" t="str"/>
      <x:c r="G18" s="28" t="str"/>
      <x:c r="H18" s="28" t="str"/>
      <x:c r="I18" s="28" t="str"/>
      <x:c r="J18" s="28" t="str"/>
      <x:c r="K18" s="28" t="str">
        <x:v>Vị trí nhánh 11</x:v>
      </x:c>
      <x:c r="L18" s="33" t="n">
        <x:v>1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ID",IF(COUNTIF($A$8:$A$43,A18)&gt;1,"TRÙNG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KC-DONGDOI-X-12</x:v>
      </x:c>
      <x:c r="B19" s="26" t="str">
        <x:v>KC-DONGDOI</x:v>
      </x:c>
      <x:c r="C19" s="26" t="str">
        <x:v>-</x:v>
      </x:c>
      <x:c r="D19" s="35" t="n">
        <x:v>12</x:v>
      </x:c>
      <x:c r="E19" s="28" t="str">
        <x:v>PTSC Miền Trung</x:v>
      </x:c>
      <x:c r="F19" s="28" t="str"/>
      <x:c r="G19" s="28" t="str"/>
      <x:c r="H19" s="28" t="str"/>
      <x:c r="I19" s="28" t="str"/>
      <x:c r="J19" s="28" t="str"/>
      <x:c r="K19" s="28" t="str">
        <x:v>Vị trí nhánh 12</x:v>
      </x:c>
      <x:c r="L19" s="33" t="n">
        <x:v>1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ID",IF(COUNTIF($A$8:$A$43,A19)&gt;1,"TRÙNG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KC-DONGDOI-X-13</x:v>
      </x:c>
      <x:c r="B20" s="26" t="str">
        <x:v>KC-DONGDOI</x:v>
      </x:c>
      <x:c r="C20" s="26" t="str">
        <x:v>-</x:v>
      </x:c>
      <x:c r="D20" s="35" t="n">
        <x:v>13</x:v>
      </x:c>
      <x:c r="E20" s="28" t="str">
        <x:v>PTSC Sao Mai</x:v>
      </x:c>
      <x:c r="F20" s="28" t="str"/>
      <x:c r="G20" s="28" t="str"/>
      <x:c r="H20" s="28" t="str"/>
      <x:c r="I20" s="28" t="str"/>
      <x:c r="J20" s="28" t="str"/>
      <x:c r="K20" s="28" t="str">
        <x:v>Vị trí nhánh 13</x:v>
      </x:c>
      <x:c r="L20" s="33" t="n">
        <x:v>1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ID",IF(COUNTIF($A$8:$A$43,A20)&gt;1,"TRÙNG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KC-DONGDOI-X-14</x:v>
      </x:c>
      <x:c r="B21" s="26" t="str">
        <x:v>KC-DONGDOI</x:v>
      </x:c>
      <x:c r="C21" s="26" t="str">
        <x:v>-</x:v>
      </x:c>
      <x:c r="D21" s="35" t="n">
        <x:v>14</x:v>
      </x:c>
      <x:c r="E21" s="28" t="str">
        <x:v>PVSecurity</x:v>
      </x:c>
      <x:c r="F21" s="28" t="str"/>
      <x:c r="G21" s="28" t="str"/>
      <x:c r="H21" s="28" t="str"/>
      <x:c r="I21" s="28" t="str"/>
      <x:c r="J21" s="28" t="str"/>
      <x:c r="K21" s="28" t="str">
        <x:v>Vị trí nhánh 14</x:v>
      </x:c>
      <x:c r="L21" s="33" t="n">
        <x:v>1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ID",IF(COUNTIF($A$8:$A$43,A21)&gt;1,"TRÙNG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KC-DONGDOI-X-15</x:v>
      </x:c>
      <x:c r="B22" s="26" t="str">
        <x:v>KC-DONGDOI</x:v>
      </x:c>
      <x:c r="C22" s="26" t="str">
        <x:v>-</x:v>
      </x:c>
      <x:c r="D22" s="35" t="n">
        <x:v>15</x:v>
      </x:c>
      <x:c r="E22" s="28" t="str">
        <x:v>PTSC Long Phú</x:v>
      </x:c>
      <x:c r="F22" s="28" t="str"/>
      <x:c r="G22" s="28" t="str"/>
      <x:c r="H22" s="28" t="str"/>
      <x:c r="I22" s="28" t="str"/>
      <x:c r="J22" s="28" t="str"/>
      <x:c r="K22" s="28" t="str">
        <x:v>Vị trí nhánh 15</x:v>
      </x:c>
      <x:c r="L22" s="33" t="n">
        <x:v>1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ID",IF(COUNTIF($A$8:$A$43,A22)&gt;1,"TRÙNG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KC-DONGDOI-X-16</x:v>
      </x:c>
      <x:c r="B23" s="26" t="str">
        <x:v>KC-DONGDOI</x:v>
      </x:c>
      <x:c r="C23" s="26" t="str">
        <x:v>-</x:v>
      </x:c>
      <x:c r="D23" s="35" t="n">
        <x:v>16</x:v>
      </x:c>
      <x:c r="E23" s="28" t="str">
        <x:v>PTSC M&amp;C</x:v>
      </x:c>
      <x:c r="F23" s="28" t="str"/>
      <x:c r="G23" s="28" t="str"/>
      <x:c r="H23" s="28" t="str"/>
      <x:c r="I23" s="28" t="str"/>
      <x:c r="J23" s="28" t="str"/>
      <x:c r="K23" s="28" t="str">
        <x:v>Vị trí nhánh 16</x:v>
      </x:c>
      <x:c r="L23" s="33" t="n">
        <x:v>1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ID",IF(COUNTIF($A$8:$A$43,A23)&gt;1,"TRÙNG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</x:c>
      <x:c r="B24" s="26"/>
      <x:c r="C24" s="26"/>
      <x:c r="D24" s="35"/>
      <x:c r="E24" s="28"/>
      <x:c r="F24" s="28"/>
      <x:c r="G24" s="28"/>
      <x:c r="H24" s="28"/>
      <x:c r="I24" s="28"/>
      <x:c r="J24" s="28"/>
      <x:c r="K24" s="28"/>
      <x:c r="L24" s="33"/>
      <x:c r="M24" s="33" t="str">
        <x:f>IF(E24="","CHỜ NHẬP","ĐÃ CÓ DỮ LIỆU")</x:f>
        <x:v>CHỜ NHẬP</x:v>
      </x:c>
      <x:c r="N24" s="33" t="str">
        <x:f>IF(AND(B24="",E24=""),"",IF(A24="","THIẾU ID",IF(COUNTIF($A$8:$A$43,A24)&gt;1,"TRÙNG ID",IF(COUNTIF(HANG_MUC!$A$6:$A$50,B24)=0,"SAI HẠNG MỤC","OK"))))</x:f>
      </x:c>
    </x:row>
    <x:row r="25">
      <x:c r="A25" s="33" t="str">
        <x:f>IF(OR(B25="",D25=""),"",B25&amp;"-"&amp;IF(OR(C25="",C25="-"),"X",UPPER(C25))&amp;"-"&amp;TEXT(D25,"00"))</x:f>
      </x:c>
      <x:c r="B25" s="26"/>
      <x:c r="C25" s="26"/>
      <x:c r="D25" s="35"/>
      <x:c r="E25" s="28"/>
      <x:c r="F25" s="28"/>
      <x:c r="G25" s="28"/>
      <x:c r="H25" s="28"/>
      <x:c r="I25" s="28"/>
      <x:c r="J25" s="28"/>
      <x:c r="K25" s="28"/>
      <x:c r="L25" s="33"/>
      <x:c r="M25" s="33" t="str">
        <x:f>IF(E25="","CHỜ NHẬP","ĐÃ CÓ DỮ LIỆU")</x:f>
        <x:v>CHỜ NHẬP</x:v>
      </x:c>
      <x:c r="N25" s="33" t="str">
        <x:f>IF(AND(B25="",E25=""),"",IF(A25="","THIẾU ID",IF(COUNTIF($A$8:$A$43,A25)&gt;1,"TRÙNG ID",IF(COUNTIF(HANG_MUC!$A$6:$A$50,B25)=0,"SAI HẠNG MỤC","OK"))))</x:f>
      </x:c>
    </x:row>
    <x:row r="26">
      <x:c r="A26" s="33" t="str">
        <x:f>IF(OR(B26="",D26=""),"",B26&amp;"-"&amp;IF(OR(C26="",C26="-"),"X",UPPER(C26))&amp;"-"&amp;TEXT(D26,"00"))</x:f>
      </x:c>
      <x:c r="B26" s="26"/>
      <x:c r="C26" s="26"/>
      <x:c r="D26" s="35"/>
      <x:c r="E26" s="28"/>
      <x:c r="F26" s="28"/>
      <x:c r="G26" s="28"/>
      <x:c r="H26" s="28"/>
      <x:c r="I26" s="28"/>
      <x:c r="J26" s="28"/>
      <x:c r="K26" s="28"/>
      <x:c r="L26" s="33"/>
      <x:c r="M26" s="33" t="str">
        <x:f>IF(E26="","CHỜ NHẬP","ĐÃ CÓ DỮ LIỆU")</x:f>
        <x:v>CHỜ NHẬP</x:v>
      </x:c>
      <x:c r="N26" s="33" t="str">
        <x:f>IF(AND(B26="",E26=""),"",IF(A26="","THIẾU ID",IF(COUNTIF($A$8:$A$43,A26)&gt;1,"TRÙNG ID",IF(COUNTIF(HANG_MUC!$A$6:$A$50,B26)=0,"SAI HẠNG MỤC","OK"))))</x:f>
      </x:c>
    </x:row>
    <x:row r="27">
      <x:c r="A27" s="33" t="str">
        <x:f>IF(OR(B27="",D27=""),"",B27&amp;"-"&amp;IF(OR(C27="",C27="-"),"X",UPPER(C27))&amp;"-"&amp;TEXT(D27,"00"))</x:f>
      </x:c>
      <x:c r="B27" s="26"/>
      <x:c r="C27" s="26"/>
      <x:c r="D27" s="35"/>
      <x:c r="E27" s="28"/>
      <x:c r="F27" s="28"/>
      <x:c r="G27" s="28"/>
      <x:c r="H27" s="28"/>
      <x:c r="I27" s="28"/>
      <x:c r="J27" s="28"/>
      <x:c r="K27" s="28"/>
      <x:c r="L27" s="33"/>
      <x:c r="M27" s="33" t="str">
        <x:f>IF(E27="","CHỜ NHẬP","ĐÃ CÓ DỮ LIỆU")</x:f>
        <x:v>CHỜ NHẬP</x:v>
      </x:c>
      <x:c r="N27" s="33" t="str">
        <x:f>IF(AND(B27="",E27=""),"",IF(A27="","THIẾU ID",IF(COUNTIF($A$8:$A$43,A27)&gt;1,"TRÙNG ID",IF(COUNTIF(HANG_MUC!$A$6:$A$50,B27)=0,"SAI HẠNG MỤC","OK"))))</x:f>
      </x:c>
    </x:row>
    <x:row r="28">
      <x:c r="A28" s="33" t="str">
        <x:f>IF(OR(B28="",D28=""),"",B28&amp;"-"&amp;IF(OR(C28="",C28="-"),"X",UPPER(C28))&amp;"-"&amp;TEXT(D28,"00"))</x:f>
      </x:c>
      <x:c r="B28" s="26"/>
      <x:c r="C28" s="26"/>
      <x:c r="D28" s="35"/>
      <x:c r="E28" s="28"/>
      <x:c r="F28" s="28"/>
      <x:c r="G28" s="28"/>
      <x:c r="H28" s="28"/>
      <x:c r="I28" s="28"/>
      <x:c r="J28" s="28"/>
      <x:c r="K28" s="28"/>
      <x:c r="L28" s="33"/>
      <x:c r="M28" s="33" t="str">
        <x:f>IF(E28="","CHỜ NHẬP","ĐÃ CÓ DỮ LIỆU")</x:f>
        <x:v>CHỜ NHẬP</x:v>
      </x:c>
      <x:c r="N28" s="33" t="str">
        <x:f>IF(AND(B28="",E28=""),"",IF(A28="","THIẾU ID",IF(COUNTIF($A$8:$A$43,A28)&gt;1,"TRÙNG ID",IF(COUNTIF(HANG_MUC!$A$6:$A$50,B28)=0,"SAI HẠNG MỤC","OK"))))</x:f>
      </x:c>
    </x:row>
    <x:row r="29">
      <x:c r="A29" s="33" t="str">
        <x:f>IF(OR(B29="",D29=""),"",B29&amp;"-"&amp;IF(OR(C29="",C29="-"),"X",UPPER(C29))&amp;"-"&amp;TEXT(D29,"00"))</x:f>
      </x:c>
      <x:c r="B29" s="26"/>
      <x:c r="C29" s="26"/>
      <x:c r="D29" s="35"/>
      <x:c r="E29" s="28"/>
      <x:c r="F29" s="28"/>
      <x:c r="G29" s="28"/>
      <x:c r="H29" s="28"/>
      <x:c r="I29" s="28"/>
      <x:c r="J29" s="28"/>
      <x:c r="K29" s="28"/>
      <x:c r="L29" s="33"/>
      <x:c r="M29" s="33" t="str">
        <x:f>IF(E29="","CHỜ NHẬP","ĐÃ CÓ DỮ LIỆU")</x:f>
        <x:v>CHỜ NHẬP</x:v>
      </x:c>
      <x:c r="N29" s="33" t="str">
        <x:f>IF(AND(B29="",E29=""),"",IF(A29="","THIẾU ID",IF(COUNTIF($A$8:$A$43,A29)&gt;1,"TRÙNG ID",IF(COUNTIF(HANG_MUC!$A$6:$A$50,B29)=0,"SAI HẠNG MỤC","OK"))))</x:f>
      </x:c>
    </x:row>
    <x:row r="30">
      <x:c r="A30" s="33" t="str">
        <x:f>IF(OR(B30="",D30=""),"",B30&amp;"-"&amp;IF(OR(C30="",C30="-"),"X",UPPER(C30))&amp;"-"&amp;TEXT(D30,"00"))</x:f>
      </x:c>
      <x:c r="B30" s="26"/>
      <x:c r="C30" s="26"/>
      <x:c r="D30" s="35"/>
      <x:c r="E30" s="28"/>
      <x:c r="F30" s="28"/>
      <x:c r="G30" s="28"/>
      <x:c r="H30" s="28"/>
      <x:c r="I30" s="28"/>
      <x:c r="J30" s="28"/>
      <x:c r="K30" s="28"/>
      <x:c r="L30" s="33"/>
      <x:c r="M30" s="33" t="str">
        <x:f>IF(E30="","CHỜ NHẬP","ĐÃ CÓ DỮ LIỆU")</x:f>
        <x:v>CHỜ NHẬP</x:v>
      </x:c>
      <x:c r="N30" s="33" t="str">
        <x:f>IF(AND(B30="",E30=""),"",IF(A30="","THIẾU ID",IF(COUNTIF($A$8:$A$43,A30)&gt;1,"TRÙNG ID",IF(COUNTIF(HANG_MUC!$A$6:$A$50,B30)=0,"SAI HẠNG MỤC","OK"))))</x:f>
      </x:c>
    </x:row>
    <x:row r="31">
      <x:c r="A31" s="33" t="str">
        <x:f>IF(OR(B31="",D31=""),"",B31&amp;"-"&amp;IF(OR(C31="",C31="-"),"X",UPPER(C31))&amp;"-"&amp;TEXT(D31,"00"))</x:f>
      </x:c>
      <x:c r="B31" s="26"/>
      <x:c r="C31" s="26"/>
      <x:c r="D31" s="35"/>
      <x:c r="E31" s="28"/>
      <x:c r="F31" s="28"/>
      <x:c r="G31" s="28"/>
      <x:c r="H31" s="28"/>
      <x:c r="I31" s="28"/>
      <x:c r="J31" s="28"/>
      <x:c r="K31" s="28"/>
      <x:c r="L31" s="33"/>
      <x:c r="M31" s="33" t="str">
        <x:f>IF(E31="","CHỜ NHẬP","ĐÃ CÓ DỮ LIỆU")</x:f>
        <x:v>CHỜ NHẬP</x:v>
      </x:c>
      <x:c r="N31" s="33" t="str">
        <x:f>IF(AND(B31="",E31=""),"",IF(A31="","THIẾU ID",IF(COUNTIF($A$8:$A$43,A31)&gt;1,"TRÙNG ID",IF(COUNTIF(HANG_MUC!$A$6:$A$50,B31)=0,"SAI HẠNG MỤC","OK"))))</x:f>
      </x:c>
    </x:row>
    <x:row r="32">
      <x:c r="A32" s="33" t="str">
        <x:f>IF(OR(B32="",D32=""),"",B32&amp;"-"&amp;IF(OR(C32="",C32="-"),"X",UPPER(C32))&amp;"-"&amp;TEXT(D32,"00"))</x:f>
      </x:c>
      <x:c r="B32" s="26"/>
      <x:c r="C32" s="26"/>
      <x:c r="D32" s="35"/>
      <x:c r="E32" s="28"/>
      <x:c r="F32" s="28"/>
      <x:c r="G32" s="28"/>
      <x:c r="H32" s="28"/>
      <x:c r="I32" s="28"/>
      <x:c r="J32" s="28"/>
      <x:c r="K32" s="28"/>
      <x:c r="L32" s="33"/>
      <x:c r="M32" s="33" t="str">
        <x:f>IF(E32="","CHỜ NHẬP","ĐÃ CÓ DỮ LIỆU")</x:f>
        <x:v>CHỜ NHẬP</x:v>
      </x:c>
      <x:c r="N32" s="33" t="str">
        <x:f>IF(AND(B32="",E32=""),"",IF(A32="","THIẾU ID",IF(COUNTIF($A$8:$A$43,A32)&gt;1,"TRÙNG ID",IF(COUNTIF(HANG_MUC!$A$6:$A$50,B32)=0,"SAI HẠNG MỤC","OK"))))</x:f>
      </x:c>
    </x:row>
    <x:row r="33">
      <x:c r="A33" s="33" t="str">
        <x:f>IF(OR(B33="",D33=""),"",B33&amp;"-"&amp;IF(OR(C33="",C33="-"),"X",UPPER(C33))&amp;"-"&amp;TEXT(D33,"00"))</x:f>
      </x:c>
      <x:c r="B33" s="26"/>
      <x:c r="C33" s="26"/>
      <x:c r="D33" s="35"/>
      <x:c r="E33" s="28"/>
      <x:c r="F33" s="28"/>
      <x:c r="G33" s="28"/>
      <x:c r="H33" s="28"/>
      <x:c r="I33" s="28"/>
      <x:c r="J33" s="28"/>
      <x:c r="K33" s="28"/>
      <x:c r="L33" s="33"/>
      <x:c r="M33" s="33" t="str">
        <x:f>IF(E33="","CHỜ NHẬP","ĐÃ CÓ DỮ LIỆU")</x:f>
        <x:v>CHỜ NHẬP</x:v>
      </x:c>
      <x:c r="N33" s="33" t="str">
        <x:f>IF(AND(B33="",E33=""),"",IF(A33="","THIẾU ID",IF(COUNTIF($A$8:$A$43,A33)&gt;1,"TRÙNG ID",IF(COUNTIF(HANG_MUC!$A$6:$A$50,B33)=0,"SAI HẠNG MỤC","OK"))))</x:f>
      </x:c>
    </x:row>
    <x:row r="34">
      <x:c r="A34" s="33" t="str">
        <x:f>IF(OR(B34="",D34=""),"",B34&amp;"-"&amp;IF(OR(C34="",C34="-"),"X",UPPER(C34))&amp;"-"&amp;TEXT(D34,"00"))</x:f>
      </x:c>
      <x:c r="B34" s="26"/>
      <x:c r="C34" s="26"/>
      <x:c r="D34" s="35"/>
      <x:c r="E34" s="28"/>
      <x:c r="F34" s="28"/>
      <x:c r="G34" s="28"/>
      <x:c r="H34" s="28"/>
      <x:c r="I34" s="28"/>
      <x:c r="J34" s="28"/>
      <x:c r="K34" s="28"/>
      <x:c r="L34" s="33"/>
      <x:c r="M34" s="33" t="str">
        <x:f>IF(E34="","CHỜ NHẬP","ĐÃ CÓ DỮ LIỆU")</x:f>
        <x:v>CHỜ NHẬP</x:v>
      </x:c>
      <x:c r="N34" s="33" t="str">
        <x:f>IF(AND(B34="",E34=""),"",IF(A34="","THIẾU ID",IF(COUNTIF($A$8:$A$43,A34)&gt;1,"TRÙNG ID",IF(COUNTIF(HANG_MUC!$A$6:$A$50,B34)=0,"SAI HẠNG MỤC","OK"))))</x:f>
      </x:c>
    </x:row>
    <x:row r="35">
      <x:c r="A35" s="33" t="str">
        <x:f>IF(OR(B35="",D35=""),"",B35&amp;"-"&amp;IF(OR(C35="",C35="-"),"X",UPPER(C35))&amp;"-"&amp;TEXT(D35,"00"))</x:f>
      </x:c>
      <x:c r="B35" s="26"/>
      <x:c r="C35" s="26"/>
      <x:c r="D35" s="35"/>
      <x:c r="E35" s="28"/>
      <x:c r="F35" s="28"/>
      <x:c r="G35" s="28"/>
      <x:c r="H35" s="28"/>
      <x:c r="I35" s="28"/>
      <x:c r="J35" s="28"/>
      <x:c r="K35" s="28"/>
      <x:c r="L35" s="33"/>
      <x:c r="M35" s="33" t="str">
        <x:f>IF(E35="","CHỜ NHẬP","ĐÃ CÓ DỮ LIỆU")</x:f>
        <x:v>CHỜ NHẬP</x:v>
      </x:c>
      <x:c r="N35" s="33" t="str">
        <x:f>IF(AND(B35="",E35=""),"",IF(A35="","THIẾU ID",IF(COUNTIF($A$8:$A$43,A35)&gt;1,"TRÙNG ID",IF(COUNTIF(HANG_MUC!$A$6:$A$50,B35)=0,"SAI HẠNG MỤC","OK"))))</x:f>
      </x:c>
    </x:row>
    <x:row r="36">
      <x:c r="A36" s="33" t="str">
        <x:f>IF(OR(B36="",D36=""),"",B36&amp;"-"&amp;IF(OR(C36="",C36="-"),"X",UPPER(C36))&amp;"-"&amp;TEXT(D36,"00"))</x:f>
      </x:c>
      <x:c r="B36" s="26"/>
      <x:c r="C36" s="26"/>
      <x:c r="D36" s="35"/>
      <x:c r="E36" s="28"/>
      <x:c r="F36" s="28"/>
      <x:c r="G36" s="28"/>
      <x:c r="H36" s="28"/>
      <x:c r="I36" s="28"/>
      <x:c r="J36" s="28"/>
      <x:c r="K36" s="28"/>
      <x:c r="L36" s="33"/>
      <x:c r="M36" s="33" t="str">
        <x:f>IF(E36="","CHỜ NHẬP","ĐÃ CÓ DỮ LIỆU")</x:f>
        <x:v>CHỜ NHẬP</x:v>
      </x:c>
      <x:c r="N36" s="33" t="str">
        <x:f>IF(AND(B36="",E36=""),"",IF(A36="","THIẾU ID",IF(COUNTIF($A$8:$A$43,A36)&gt;1,"TRÙNG ID",IF(COUNTIF(HANG_MUC!$A$6:$A$50,B36)=0,"SAI HẠNG MỤC","OK"))))</x:f>
      </x:c>
    </x:row>
    <x:row r="37">
      <x:c r="A37" s="33" t="str">
        <x:f>IF(OR(B37="",D37=""),"",B37&amp;"-"&amp;IF(OR(C37="",C37="-"),"X",UPPER(C37))&amp;"-"&amp;TEXT(D37,"00"))</x:f>
      </x:c>
      <x:c r="B37" s="26"/>
      <x:c r="C37" s="26"/>
      <x:c r="D37" s="35"/>
      <x:c r="E37" s="28"/>
      <x:c r="F37" s="28"/>
      <x:c r="G37" s="28"/>
      <x:c r="H37" s="28"/>
      <x:c r="I37" s="28"/>
      <x:c r="J37" s="28"/>
      <x:c r="K37" s="28"/>
      <x:c r="L37" s="33"/>
      <x:c r="M37" s="33" t="str">
        <x:f>IF(E37="","CHỜ NHẬP","ĐÃ CÓ DỮ LIỆU")</x:f>
        <x:v>CHỜ NHẬP</x:v>
      </x:c>
      <x:c r="N37" s="33" t="str">
        <x:f>IF(AND(B37="",E37=""),"",IF(A37="","THIẾU ID",IF(COUNTIF($A$8:$A$43,A37)&gt;1,"TRÙNG ID",IF(COUNTIF(HANG_MUC!$A$6:$A$50,B37)=0,"SAI HẠNG MỤC","OK"))))</x:f>
      </x:c>
    </x:row>
    <x:row r="38">
      <x:c r="A38" s="33" t="str">
        <x:f>IF(OR(B38="",D38=""),"",B38&amp;"-"&amp;IF(OR(C38="",C38="-"),"X",UPPER(C38))&amp;"-"&amp;TEXT(D38,"00"))</x:f>
      </x:c>
      <x:c r="B38" s="26"/>
      <x:c r="C38" s="26"/>
      <x:c r="D38" s="35"/>
      <x:c r="E38" s="28"/>
      <x:c r="F38" s="28"/>
      <x:c r="G38" s="28"/>
      <x:c r="H38" s="28"/>
      <x:c r="I38" s="28"/>
      <x:c r="J38" s="28"/>
      <x:c r="K38" s="28"/>
      <x:c r="L38" s="33"/>
      <x:c r="M38" s="33" t="str">
        <x:f>IF(E38="","CHỜ NHẬP","ĐÃ CÓ DỮ LIỆU")</x:f>
        <x:v>CHỜ NHẬP</x:v>
      </x:c>
      <x:c r="N38" s="33" t="str">
        <x:f>IF(AND(B38="",E38=""),"",IF(A38="","THIẾU ID",IF(COUNTIF($A$8:$A$43,A38)&gt;1,"TRÙNG ID",IF(COUNTIF(HANG_MUC!$A$6:$A$50,B38)=0,"SAI HẠNG MỤC","OK"))))</x:f>
      </x:c>
    </x:row>
    <x:row r="39">
      <x:c r="A39" s="33" t="str">
        <x:f>IF(OR(B39="",D39=""),"",B39&amp;"-"&amp;IF(OR(C39="",C39="-"),"X",UPPER(C39))&amp;"-"&amp;TEXT(D39,"00"))</x:f>
      </x:c>
      <x:c r="B39" s="26"/>
      <x:c r="C39" s="26"/>
      <x:c r="D39" s="35"/>
      <x:c r="E39" s="28"/>
      <x:c r="F39" s="28"/>
      <x:c r="G39" s="28"/>
      <x:c r="H39" s="28"/>
      <x:c r="I39" s="28"/>
      <x:c r="J39" s="28"/>
      <x:c r="K39" s="28"/>
      <x:c r="L39" s="33"/>
      <x:c r="M39" s="33" t="str">
        <x:f>IF(E39="","CHỜ NHẬP","ĐÃ CÓ DỮ LIỆU")</x:f>
        <x:v>CHỜ NHẬP</x:v>
      </x:c>
      <x:c r="N39" s="33" t="str">
        <x:f>IF(AND(B39="",E39=""),"",IF(A39="","THIẾU ID",IF(COUNTIF($A$8:$A$43,A39)&gt;1,"TRÙNG ID",IF(COUNTIF(HANG_MUC!$A$6:$A$50,B39)=0,"SAI HẠNG MỤC","OK"))))</x:f>
      </x:c>
    </x:row>
    <x:row r="40">
      <x:c r="A40" s="33" t="str">
        <x:f>IF(OR(B40="",D40=""),"",B40&amp;"-"&amp;IF(OR(C40="",C40="-"),"X",UPPER(C40))&amp;"-"&amp;TEXT(D40,"00"))</x:f>
      </x:c>
      <x:c r="B40" s="26"/>
      <x:c r="C40" s="26"/>
      <x:c r="D40" s="35"/>
      <x:c r="E40" s="28"/>
      <x:c r="F40" s="28"/>
      <x:c r="G40" s="28"/>
      <x:c r="H40" s="28"/>
      <x:c r="I40" s="28"/>
      <x:c r="J40" s="28"/>
      <x:c r="K40" s="28"/>
      <x:c r="L40" s="33"/>
      <x:c r="M40" s="33" t="str">
        <x:f>IF(E40="","CHỜ NHẬP","ĐÃ CÓ DỮ LIỆU")</x:f>
        <x:v>CHỜ NHẬP</x:v>
      </x:c>
      <x:c r="N40" s="33" t="str">
        <x:f>IF(AND(B40="",E40=""),"",IF(A40="","THIẾU ID",IF(COUNTIF($A$8:$A$43,A40)&gt;1,"TRÙNG ID",IF(COUNTIF(HANG_MUC!$A$6:$A$50,B40)=0,"SAI HẠNG MỤC","OK"))))</x:f>
      </x:c>
    </x:row>
    <x:row r="41">
      <x:c r="A41" s="33" t="str">
        <x:f>IF(OR(B41="",D41=""),"",B41&amp;"-"&amp;IF(OR(C41="",C41="-"),"X",UPPER(C41))&amp;"-"&amp;TEXT(D41,"00"))</x:f>
      </x:c>
      <x:c r="B41" s="26"/>
      <x:c r="C41" s="26"/>
      <x:c r="D41" s="35"/>
      <x:c r="E41" s="28"/>
      <x:c r="F41" s="28"/>
      <x:c r="G41" s="28"/>
      <x:c r="H41" s="28"/>
      <x:c r="I41" s="28"/>
      <x:c r="J41" s="28"/>
      <x:c r="K41" s="28"/>
      <x:c r="L41" s="33"/>
      <x:c r="M41" s="33" t="str">
        <x:f>IF(E41="","CHỜ NHẬP","ĐÃ CÓ DỮ LIỆU")</x:f>
        <x:v>CHỜ NHẬP</x:v>
      </x:c>
      <x:c r="N41" s="33" t="str">
        <x:f>IF(AND(B41="",E41=""),"",IF(A41="","THIẾU ID",IF(COUNTIF($A$8:$A$43,A41)&gt;1,"TRÙNG ID",IF(COUNTIF(HANG_MUC!$A$6:$A$50,B41)=0,"SAI HẠNG MỤC","OK"))))</x:f>
      </x:c>
    </x:row>
    <x:row r="42">
      <x:c r="A42" s="33" t="str">
        <x:f>IF(OR(B42="",D42=""),"",B42&amp;"-"&amp;IF(OR(C42="",C42="-"),"X",UPPER(C42))&amp;"-"&amp;TEXT(D42,"00"))</x:f>
      </x:c>
      <x:c r="B42" s="26"/>
      <x:c r="C42" s="26"/>
      <x:c r="D42" s="35"/>
      <x:c r="E42" s="28"/>
      <x:c r="F42" s="28"/>
      <x:c r="G42" s="28"/>
      <x:c r="H42" s="28"/>
      <x:c r="I42" s="28"/>
      <x:c r="J42" s="28"/>
      <x:c r="K42" s="28"/>
      <x:c r="L42" s="33"/>
      <x:c r="M42" s="33" t="str">
        <x:f>IF(E42="","CHỜ NHẬP","ĐÃ CÓ DỮ LIỆU")</x:f>
        <x:v>CHỜ NHẬP</x:v>
      </x:c>
      <x:c r="N42" s="33" t="str">
        <x:f>IF(AND(B42="",E42=""),"",IF(A42="","THIẾU ID",IF(COUNTIF($A$8:$A$43,A42)&gt;1,"TRÙNG ID",IF(COUNTIF(HANG_MUC!$A$6:$A$50,B42)=0,"SAI HẠNG MỤC","OK"))))</x:f>
      </x:c>
    </x:row>
    <x:row r="43">
      <x:c r="A43" s="33" t="str">
        <x:f>IF(OR(B43="",D43=""),"",B43&amp;"-"&amp;IF(OR(C43="",C43="-"),"X",UPPER(C43))&amp;"-"&amp;TEXT(D43,"00"))</x:f>
      </x:c>
      <x:c r="B43" s="26"/>
      <x:c r="C43" s="26"/>
      <x:c r="D43" s="35"/>
      <x:c r="E43" s="28"/>
      <x:c r="F43" s="28"/>
      <x:c r="G43" s="28"/>
      <x:c r="H43" s="28"/>
      <x:c r="I43" s="28"/>
      <x:c r="J43" s="28"/>
      <x:c r="K43" s="28"/>
      <x:c r="L43" s="33"/>
      <x:c r="M43" s="33" t="str">
        <x:f>IF(E43="","CHỜ NHẬP","ĐÃ CÓ DỮ LIỆU")</x:f>
        <x:v>CHỜ NHẬP</x:v>
      </x:c>
      <x:c r="N43" s="33" t="str">
        <x:f>IF(AND(B43="",E43=""),"",IF(A43="","THIẾU ID",IF(COUNTIF($A$8:$A$43,A43)&gt;1,"TRÙNG ID",IF(COUNTIF(HANG_MUC!$A$6:$A$50,B43)=0,"SAI HẠNG MỤC","OK"))))</x:f>
      </x:c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43">
    <x:cfRule type="containsText" dxfId="36" priority="1" operator="containsText" text="TRÙNG"/>
    <x:cfRule type="containsText" dxfId="37" priority="2" operator="containsText" text="SAI"/>
    <x:cfRule type="containsText" dxfId="38" priority="3" operator="containsText" text="THIẾU"/>
    <x:cfRule type="containsText" dxfId="39" priority="4" operator="containsText" text="OK"/>
  </x:conditionalFormatting>
  <x:conditionalFormatting sqref="M8:M43">
    <x:cfRule type="containsText" dxfId="40" priority="5" operator="containsText" text="CHỜ"/>
  </x:conditionalFormatting>
  <x:dataValidations count="3">
    <x:dataValidation type="list" sqref="B8:B43">
      <x:formula1>HANG_MUC!$A$34:$A$34</x:formula1>
    </x:dataValidation>
    <x:dataValidation type="list" sqref="C8:C43">
      <x:formula1>"-,A,B,C,D,E,F,G,H"</x:formula1>
    </x:dataValidation>
    <x:dataValidation type="whole" operator="between" sqref="D8:D43">
      <x:formula1>1</x:formula1>
      <x:formula2>999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Pickleball lãnh đạo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PBLD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PBLD-DOI-NAM-A-01</x:v>
      </x:c>
      <x:c r="B8" s="24" t="str">
        <x:v>PBLD-DOI-NAM</x:v>
      </x:c>
      <x:c r="C8" s="24" t="str">
        <x:v>A</x:v>
      </x:c>
      <x:c r="D8" s="34" t="n">
        <x:v>1</x:v>
      </x:c>
      <x:c r="E8" s="27" t="str">
        <x:v>Nguyễn Đức Thiện</x:v>
      </x:c>
      <x:c r="F8" s="27" t="str">
        <x:v>Nguyễn Văn Bảo</x:v>
      </x:c>
      <x:c r="G8" s="27" t="str"/>
      <x:c r="H8" s="27" t="str"/>
      <x:c r="I8" s="27" t="str"/>
      <x:c r="J8" s="27" t="str">
        <x:v>TB CĐS - PTSC HQ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ID",IF(COUNTIF($A$8:$A$49,A8)&gt;1,"TRÙNG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PBLD-DOI-NAM-A-02</x:v>
      </x:c>
      <x:c r="B9" s="26" t="str">
        <x:v>PBLD-DOI-NAM</x:v>
      </x:c>
      <x:c r="C9" s="26" t="str">
        <x:v>A</x:v>
      </x:c>
      <x:c r="D9" s="35" t="n">
        <x:v>2</x:v>
      </x:c>
      <x:c r="E9" s="28" t="str">
        <x:v>Lê Hồng Phong</x:v>
      </x:c>
      <x:c r="F9" s="28" t="str">
        <x:v>Nguyễn Đức Hòa</x:v>
      </x:c>
      <x:c r="G9" s="28" t="str"/>
      <x:c r="H9" s="28" t="str"/>
      <x:c r="I9" s="28" t="str"/>
      <x:c r="J9" s="28" t="str">
        <x:v>PTSC Quảng Ngãi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ID",IF(COUNTIF($A$8:$A$49,A9)&gt;1,"TRÙNG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PBLD-DOI-NAM-A-03</x:v>
      </x:c>
      <x:c r="B10" s="26" t="str">
        <x:v>PBLD-DOI-NAM</x:v>
      </x:c>
      <x:c r="C10" s="26" t="str">
        <x:v>A</x:v>
      </x:c>
      <x:c r="D10" s="35" t="n">
        <x:v>3</x:v>
      </x:c>
      <x:c r="E10" s="28" t="str">
        <x:v>Nguyễn Thanh Hải</x:v>
      </x:c>
      <x:c r="F10" s="28" t="str">
        <x:v>Tô Ngọc Tú</x:v>
      </x:c>
      <x:c r="G10" s="28" t="str"/>
      <x:c r="H10" s="28" t="str"/>
      <x:c r="I10" s="28" t="str"/>
      <x:c r="J10" s="28" t="str">
        <x:v>PTSC SAO MAI - PTSC M&amp;C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ID",IF(COUNTIF($A$8:$A$49,A10)&gt;1,"TRÙNG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PBLD-DOI-NAM-A-04</x:v>
      </x:c>
      <x:c r="B11" s="26" t="str">
        <x:v>PBLD-DOI-NAM</x:v>
      </x:c>
      <x:c r="C11" s="26" t="str">
        <x:v>A</x:v>
      </x:c>
      <x:c r="D11" s="35" t="n">
        <x:v>4</x:v>
      </x:c>
      <x:c r="E11" s="28" t="str">
        <x:v>Thân Văn Sơn</x:v>
      </x:c>
      <x:c r="F11" s="28" t="str">
        <x:v>Hoàng Long Phương</x:v>
      </x:c>
      <x:c r="G11" s="28" t="str"/>
      <x:c r="H11" s="28" t="str"/>
      <x:c r="I11" s="28" t="str"/>
      <x:c r="J11" s="28" t="str">
        <x:v>PTSC Miền Trung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ID",IF(COUNTIF($A$8:$A$49,A11)&gt;1,"TRÙNG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PBLD-DOI-NAM-B-01</x:v>
      </x:c>
      <x:c r="B12" s="26" t="str">
        <x:v>PBLD-DOI-NAM</x:v>
      </x:c>
      <x:c r="C12" s="26" t="str">
        <x:v>B</x:v>
      </x:c>
      <x:c r="D12" s="35" t="n">
        <x:v>1</x:v>
      </x:c>
      <x:c r="E12" s="28" t="str">
        <x:v>Phạm Xuân Nhân</x:v>
      </x:c>
      <x:c r="F12" s="28" t="str">
        <x:v>Lê Thiện Khang</x:v>
      </x:c>
      <x:c r="G12" s="28" t="str"/>
      <x:c r="H12" s="28" t="str"/>
      <x:c r="I12" s="28" t="str"/>
      <x:c r="J12" s="28" t="str">
        <x:v>PTSC G&amp;S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ID",IF(COUNTIF($A$8:$A$49,A12)&gt;1,"TRÙNG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PBLD-DOI-NAM-B-02</x:v>
      </x:c>
      <x:c r="B13" s="26" t="str">
        <x:v>PBLD-DOI-NAM</x:v>
      </x:c>
      <x:c r="C13" s="26" t="str">
        <x:v>B</x:v>
      </x:c>
      <x:c r="D13" s="35" t="n">
        <x:v>2</x:v>
      </x:c>
      <x:c r="E13" s="28" t="str">
        <x:v>Nguyễn Quang Thường</x:v>
      </x:c>
      <x:c r="F13" s="28" t="str">
        <x:v>Trần Xuân Diệu</x:v>
      </x:c>
      <x:c r="G13" s="28" t="str"/>
      <x:c r="H13" s="28" t="str"/>
      <x:c r="I13" s="28" t="str"/>
      <x:c r="J13" s="28" t="str">
        <x:v>PTSC HQ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ID",IF(COUNTIF($A$8:$A$49,A13)&gt;1,"TRÙNG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PBLD-DOI-NAM-B-03</x:v>
      </x:c>
      <x:c r="B14" s="26" t="str">
        <x:v>PBLD-DOI-NAM</x:v>
      </x:c>
      <x:c r="C14" s="26" t="str">
        <x:v>B</x:v>
      </x:c>
      <x:c r="D14" s="35" t="n">
        <x:v>3</x:v>
      </x:c>
      <x:c r="E14" s="28" t="str">
        <x:v>Lê Văn Ngà</x:v>
      </x:c>
      <x:c r="F14" s="28" t="str">
        <x:v>Nguyễn Bá Tuấn</x:v>
      </x:c>
      <x:c r="G14" s="28" t="str"/>
      <x:c r="H14" s="28" t="str"/>
      <x:c r="I14" s="28" t="str"/>
      <x:c r="J14" s="28" t="str">
        <x:v>PTSC Thanh Hóa</x:v>
      </x:c>
      <x:c r="K14" s="28" t="str"/>
      <x:c r="L14" s="33" t="n">
        <x:v>1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ID",IF(COUNTIF($A$8:$A$49,A14)&gt;1,"TRÙNG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PBLD-DOI-NAM-B-04</x:v>
      </x:c>
      <x:c r="B15" s="26" t="str">
        <x:v>PBLD-DOI-NAM</x:v>
      </x:c>
      <x:c r="C15" s="26" t="str">
        <x:v>B</x:v>
      </x:c>
      <x:c r="D15" s="35" t="n">
        <x:v>4</x:v>
      </x:c>
      <x:c r="E15" s="28" t="str">
        <x:v>Lưu Đức Hoàng</x:v>
      </x:c>
      <x:c r="F15" s="28" t="str">
        <x:v>Nguyễn Anh Dũng</x:v>
      </x:c>
      <x:c r="G15" s="28" t="str"/>
      <x:c r="H15" s="28" t="str"/>
      <x:c r="I15" s="28" t="str"/>
      <x:c r="J15" s="28" t="str">
        <x:v>PTSC M&amp;C</x:v>
      </x:c>
      <x:c r="K15" s="28" t="str"/>
      <x:c r="L15" s="33" t="n">
        <x:v>1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ID",IF(COUNTIF($A$8:$A$49,A15)&gt;1,"TRÙNG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PBLD-DOI-NAM-C-01</x:v>
      </x:c>
      <x:c r="B16" s="26" t="str">
        <x:v>PBLD-DOI-NAM</x:v>
      </x:c>
      <x:c r="C16" s="26" t="str">
        <x:v>C</x:v>
      </x:c>
      <x:c r="D16" s="35" t="n">
        <x:v>1</x:v>
      </x:c>
      <x:c r="E16" s="28" t="str">
        <x:v>Phạm Văn Hùng</x:v>
      </x:c>
      <x:c r="F16" s="28" t="str">
        <x:v>Đỗ Huy Thế</x:v>
      </x:c>
      <x:c r="G16" s="28" t="str"/>
      <x:c r="H16" s="28" t="str"/>
      <x:c r="I16" s="28" t="str"/>
      <x:c r="J16" s="28" t="str">
        <x:v>PTSC HQ</x:v>
      </x:c>
      <x:c r="K16" s="28" t="str"/>
      <x:c r="L16" s="33" t="n">
        <x:v>2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ID",IF(COUNTIF($A$8:$A$49,A16)&gt;1,"TRÙNG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PBLD-DOI-NAM-C-02</x:v>
      </x:c>
      <x:c r="B17" s="26" t="str">
        <x:v>PBLD-DOI-NAM</x:v>
      </x:c>
      <x:c r="C17" s="26" t="str">
        <x:v>C</x:v>
      </x:c>
      <x:c r="D17" s="35" t="n">
        <x:v>2</x:v>
      </x:c>
      <x:c r="E17" s="28" t="str">
        <x:v>Trần Mạnh Huynh</x:v>
      </x:c>
      <x:c r="F17" s="28" t="str">
        <x:v>Hồ Sĩ Nhật Thái</x:v>
      </x:c>
      <x:c r="G17" s="28" t="str"/>
      <x:c r="H17" s="28" t="str"/>
      <x:c r="I17" s="28" t="str"/>
      <x:c r="J17" s="28" t="str">
        <x:v>PTSC Long Phú</x:v>
      </x:c>
      <x:c r="K17" s="28" t="str"/>
      <x:c r="L17" s="33" t="n">
        <x:v>2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ID",IF(COUNTIF($A$8:$A$49,A17)&gt;1,"TRÙNG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PBLD-DOI-NAM-C-03</x:v>
      </x:c>
      <x:c r="B18" s="26" t="str">
        <x:v>PBLD-DOI-NAM</x:v>
      </x:c>
      <x:c r="C18" s="26" t="str">
        <x:v>C</x:v>
      </x:c>
      <x:c r="D18" s="35" t="n">
        <x:v>3</x:v>
      </x:c>
      <x:c r="E18" s="28" t="str">
        <x:v>Bùi Hữu Việt Cường</x:v>
      </x:c>
      <x:c r="F18" s="28" t="str">
        <x:v>Trần Đạt Nguyên</x:v>
      </x:c>
      <x:c r="G18" s="28" t="str"/>
      <x:c r="H18" s="28" t="str"/>
      <x:c r="I18" s="28" t="str"/>
      <x:c r="J18" s="28" t="str">
        <x:v>PTSC HQ</x:v>
      </x:c>
      <x:c r="K18" s="28" t="str"/>
      <x:c r="L18" s="33" t="n">
        <x:v>2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ID",IF(COUNTIF($A$8:$A$49,A18)&gt;1,"TRÙNG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PBLD-DOI-NAM-C-04</x:v>
      </x:c>
      <x:c r="B19" s="26" t="str">
        <x:v>PBLD-DOI-NAM</x:v>
      </x:c>
      <x:c r="C19" s="26" t="str">
        <x:v>C</x:v>
      </x:c>
      <x:c r="D19" s="35" t="n">
        <x:v>4</x:v>
      </x:c>
      <x:c r="E19" s="28" t="str">
        <x:v>Nguyễn Hữu Tuấn</x:v>
      </x:c>
      <x:c r="F19" s="28" t="str">
        <x:v>Nguyễn Hữu Quyết</x:v>
      </x:c>
      <x:c r="G19" s="28" t="str"/>
      <x:c r="H19" s="28" t="str"/>
      <x:c r="I19" s="28" t="str"/>
      <x:c r="J19" s="28" t="str">
        <x:v>PTSC HQ</x:v>
      </x:c>
      <x:c r="K19" s="28" t="str"/>
      <x:c r="L19" s="33" t="n">
        <x:v>2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ID",IF(COUNTIF($A$8:$A$49,A19)&gt;1,"TRÙNG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PBLD-DOI-NAM-D-01</x:v>
      </x:c>
      <x:c r="B20" s="26" t="str">
        <x:v>PBLD-DOI-NAM</x:v>
      </x:c>
      <x:c r="C20" s="26" t="str">
        <x:v>D</x:v>
      </x:c>
      <x:c r="D20" s="35" t="n">
        <x:v>1</x:v>
      </x:c>
      <x:c r="E20" s="28" t="str">
        <x:v>Trịnh Hữu Dương</x:v>
      </x:c>
      <x:c r="F20" s="28" t="str">
        <x:v>Trần Ngọc Choan</x:v>
      </x:c>
      <x:c r="G20" s="28" t="str"/>
      <x:c r="H20" s="28" t="str"/>
      <x:c r="I20" s="28" t="str"/>
      <x:c r="J20" s="28" t="str">
        <x:v>PTSC Marine</x:v>
      </x:c>
      <x:c r="K20" s="28" t="str"/>
      <x:c r="L20" s="33" t="n">
        <x:v>2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ID",IF(COUNTIF($A$8:$A$49,A20)&gt;1,"TRÙNG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PBLD-DOI-NAM-D-02</x:v>
      </x:c>
      <x:c r="B21" s="26" t="str">
        <x:v>PBLD-DOI-NAM</x:v>
      </x:c>
      <x:c r="C21" s="26" t="str">
        <x:v>D</x:v>
      </x:c>
      <x:c r="D21" s="35" t="n">
        <x:v>2</x:v>
      </x:c>
      <x:c r="E21" s="28" t="str">
        <x:v>Nguyễn Hải Bằng</x:v>
      </x:c>
      <x:c r="F21" s="28" t="str">
        <x:v>Vũ Văn Hùng</x:v>
      </x:c>
      <x:c r="G21" s="28" t="str"/>
      <x:c r="H21" s="28" t="str"/>
      <x:c r="I21" s="28" t="str"/>
      <x:c r="J21" s="28" t="str">
        <x:v>PTSC Đình Vũ</x:v>
      </x:c>
      <x:c r="K21" s="28" t="str"/>
      <x:c r="L21" s="33" t="n">
        <x:v>2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ID",IF(COUNTIF($A$8:$A$49,A21)&gt;1,"TRÙNG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PBLD-DOI-NAM-D-03</x:v>
      </x:c>
      <x:c r="B22" s="26" t="str">
        <x:v>PBLD-DOI-NAM</x:v>
      </x:c>
      <x:c r="C22" s="26" t="str">
        <x:v>D</x:v>
      </x:c>
      <x:c r="D22" s="35" t="n">
        <x:v>3</x:v>
      </x:c>
      <x:c r="E22" s="28" t="str">
        <x:v>Nguyễn Hoàng Hải Minh</x:v>
      </x:c>
      <x:c r="F22" s="28" t="str">
        <x:v>Phạm Đức Cường</x:v>
      </x:c>
      <x:c r="G22" s="28" t="str"/>
      <x:c r="H22" s="28" t="str"/>
      <x:c r="I22" s="28" t="str"/>
      <x:c r="J22" s="28" t="str">
        <x:v>PTSC Phú Mỹ</x:v>
      </x:c>
      <x:c r="K22" s="28" t="str"/>
      <x:c r="L22" s="33" t="n">
        <x:v>2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ID",IF(COUNTIF($A$8:$A$49,A22)&gt;1,"TRÙNG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PBLD-DOI-NAM-D-04</x:v>
      </x:c>
      <x:c r="B23" s="26" t="str">
        <x:v>PBLD-DOI-NAM</x:v>
      </x:c>
      <x:c r="C23" s="26" t="str">
        <x:v>D</x:v>
      </x:c>
      <x:c r="D23" s="35" t="n">
        <x:v>4</x:v>
      </x:c>
      <x:c r="E23" s="28" t="str">
        <x:v>Đỗ Toàn Thắng</x:v>
      </x:c>
      <x:c r="F23" s="28" t="str">
        <x:v>Đào Văn Cường</x:v>
      </x:c>
      <x:c r="G23" s="28" t="str"/>
      <x:c r="H23" s="28" t="str"/>
      <x:c r="I23" s="28" t="str"/>
      <x:c r="J23" s="28" t="str">
        <x:v>PTSC SAO MAI</x:v>
      </x:c>
      <x:c r="K23" s="28" t="str"/>
      <x:c r="L23" s="33" t="n">
        <x:v>2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ID",IF(COUNTIF($A$8:$A$49,A23)&gt;1,"TRÙNG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PBLD-DOI-NAM-D-05</x:v>
      </x:c>
      <x:c r="B24" s="26" t="str">
        <x:v>PBLD-DOI-NAM</x:v>
      </x:c>
      <x:c r="C24" s="26" t="str">
        <x:v>D</x:v>
      </x:c>
      <x:c r="D24" s="35" t="n">
        <x:v>5</x:v>
      </x:c>
      <x:c r="E24" s="28" t="str">
        <x:v>Nguyễn Dương Lâm</x:v>
      </x:c>
      <x:c r="F24" s="28" t="str">
        <x:v>Trần Đức Hạnh</x:v>
      </x:c>
      <x:c r="G24" s="28" t="str"/>
      <x:c r="H24" s="28" t="str"/>
      <x:c r="I24" s="28" t="str"/>
      <x:c r="J24" s="28" t="str">
        <x:v>PTSC Supply Base</x:v>
      </x:c>
      <x:c r="K24" s="28" t="str"/>
      <x:c r="L24" s="33" t="n">
        <x:v>2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ID",IF(COUNTIF($A$8:$A$49,A24)&gt;1,"TRÙNG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PBLD-DOI-NAMNU-A-01</x:v>
      </x:c>
      <x:c r="B25" s="26" t="str">
        <x:v>PBLD-DOI-NAMNU</x:v>
      </x:c>
      <x:c r="C25" s="26" t="str">
        <x:v>A</x:v>
      </x:c>
      <x:c r="D25" s="35" t="n">
        <x:v>1</x:v>
      </x:c>
      <x:c r="E25" s="28" t="str">
        <x:v>Bùi Hữu Việt Cường</x:v>
      </x:c>
      <x:c r="F25" s="28" t="str">
        <x:v>Lê Thị Hằng</x:v>
      </x:c>
      <x:c r="G25" s="28" t="str"/>
      <x:c r="H25" s="28" t="str"/>
      <x:c r="I25" s="28" t="str"/>
      <x:c r="J25" s="28" t="str">
        <x:v>PTSC HQ</x:v>
      </x:c>
      <x:c r="K25" s="28" t="str"/>
      <x:c r="L25" s="33" t="n">
        <x:v>4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ID",IF(COUNTIF($A$8:$A$49,A25)&gt;1,"TRÙNG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PBLD-DOI-NAMNU-A-02</x:v>
      </x:c>
      <x:c r="B26" s="26" t="str">
        <x:v>PBLD-DOI-NAMNU</x:v>
      </x:c>
      <x:c r="C26" s="26" t="str">
        <x:v>A</x:v>
      </x:c>
      <x:c r="D26" s="35" t="n">
        <x:v>2</x:v>
      </x:c>
      <x:c r="E26" s="28" t="str">
        <x:v>Nguyễn Hữu Tuấn</x:v>
      </x:c>
      <x:c r="F26" s="28" t="str">
        <x:v>Nguyễn Thị Thu Hà</x:v>
      </x:c>
      <x:c r="G26" s="28" t="str"/>
      <x:c r="H26" s="28" t="str"/>
      <x:c r="I26" s="28" t="str"/>
      <x:c r="J26" s="28" t="str">
        <x:v>LQ HQ và ANDK</x:v>
      </x:c>
      <x:c r="K26" s="28" t="str"/>
      <x:c r="L26" s="33" t="n">
        <x:v>4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ID",IF(COUNTIF($A$8:$A$49,A26)&gt;1,"TRÙNG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PBLD-DOI-NAMNU-A-03</x:v>
      </x:c>
      <x:c r="B27" s="26" t="str">
        <x:v>PBLD-DOI-NAMNU</x:v>
      </x:c>
      <x:c r="C27" s="26" t="str">
        <x:v>A</x:v>
      </x:c>
      <x:c r="D27" s="35" t="n">
        <x:v>3</x:v>
      </x:c>
      <x:c r="E27" s="28" t="str">
        <x:v>Đỗ Huy Thế</x:v>
      </x:c>
      <x:c r="F27" s="28" t="str">
        <x:v>Lê Anh Thư</x:v>
      </x:c>
      <x:c r="G27" s="28" t="str"/>
      <x:c r="H27" s="28" t="str"/>
      <x:c r="I27" s="28" t="str"/>
      <x:c r="J27" s="28" t="str">
        <x:v>PTSC HQ</x:v>
      </x:c>
      <x:c r="K27" s="28" t="str"/>
      <x:c r="L27" s="33" t="n">
        <x:v>4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ID",IF(COUNTIF($A$8:$A$49,A27)&gt;1,"TRÙNG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PBLD-DOI-NAMNU-A-04</x:v>
      </x:c>
      <x:c r="B28" s="26" t="str">
        <x:v>PBLD-DOI-NAMNU</x:v>
      </x:c>
      <x:c r="C28" s="26" t="str">
        <x:v>A</x:v>
      </x:c>
      <x:c r="D28" s="35" t="n">
        <x:v>4</x:v>
      </x:c>
      <x:c r="E28" s="28" t="str">
        <x:v>Nguyễn Văn Bảo</x:v>
      </x:c>
      <x:c r="F28" s="28" t="str">
        <x:v>Đào Thị Nga</x:v>
      </x:c>
      <x:c r="G28" s="28" t="str"/>
      <x:c r="H28" s="28" t="str"/>
      <x:c r="I28" s="28" t="str"/>
      <x:c r="J28" s="28" t="str">
        <x:v>PTSC HQ</x:v>
      </x:c>
      <x:c r="K28" s="28" t="str"/>
      <x:c r="L28" s="33" t="n">
        <x:v>4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ID",IF(COUNTIF($A$8:$A$49,A28)&gt;1,"TRÙNG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PBLD-DOI-NAMNU-A-05</x:v>
      </x:c>
      <x:c r="B29" s="26" t="str">
        <x:v>PBLD-DOI-NAMNU</x:v>
      </x:c>
      <x:c r="C29" s="26" t="str">
        <x:v>A</x:v>
      </x:c>
      <x:c r="D29" s="35" t="n">
        <x:v>5</x:v>
      </x:c>
      <x:c r="E29" s="28" t="str">
        <x:v>Phạm Văn Hùng</x:v>
      </x:c>
      <x:c r="F29" s="28" t="str">
        <x:v>Trịnh Thị Lý</x:v>
      </x:c>
      <x:c r="G29" s="28" t="str"/>
      <x:c r="H29" s="28" t="str"/>
      <x:c r="I29" s="28" t="str"/>
      <x:c r="J29" s="28" t="str">
        <x:v>PTSC HQ</x:v>
      </x:c>
      <x:c r="K29" s="28" t="str"/>
      <x:c r="L29" s="33" t="n">
        <x:v>4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ID",IF(COUNTIF($A$8:$A$49,A29)&gt;1,"TRÙNG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</x:c>
      <x:c r="B30" s="26"/>
      <x:c r="C30" s="26"/>
      <x:c r="D30" s="35"/>
      <x:c r="E30" s="28"/>
      <x:c r="F30" s="28"/>
      <x:c r="G30" s="28"/>
      <x:c r="H30" s="28"/>
      <x:c r="I30" s="28"/>
      <x:c r="J30" s="28"/>
      <x:c r="K30" s="28"/>
      <x:c r="L30" s="33"/>
      <x:c r="M30" s="33" t="str">
        <x:f>IF(E30="","CHỜ NHẬP","ĐÃ CÓ DỮ LIỆU")</x:f>
        <x:v>CHỜ NHẬP</x:v>
      </x:c>
      <x:c r="N30" s="33" t="str">
        <x:f>IF(AND(B30="",E30=""),"",IF(A30="","THIẾU ID",IF(COUNTIF($A$8:$A$49,A30)&gt;1,"TRÙNG ID",IF(COUNTIF(HANG_MUC!$A$6:$A$50,B30)=0,"SAI HẠNG MỤC","OK"))))</x:f>
      </x:c>
    </x:row>
    <x:row r="31">
      <x:c r="A31" s="33" t="str">
        <x:f>IF(OR(B31="",D31=""),"",B31&amp;"-"&amp;IF(OR(C31="",C31="-"),"X",UPPER(C31))&amp;"-"&amp;TEXT(D31,"00"))</x:f>
      </x:c>
      <x:c r="B31" s="26"/>
      <x:c r="C31" s="26"/>
      <x:c r="D31" s="35"/>
      <x:c r="E31" s="28"/>
      <x:c r="F31" s="28"/>
      <x:c r="G31" s="28"/>
      <x:c r="H31" s="28"/>
      <x:c r="I31" s="28"/>
      <x:c r="J31" s="28"/>
      <x:c r="K31" s="28"/>
      <x:c r="L31" s="33"/>
      <x:c r="M31" s="33" t="str">
        <x:f>IF(E31="","CHỜ NHẬP","ĐÃ CÓ DỮ LIỆU")</x:f>
        <x:v>CHỜ NHẬP</x:v>
      </x:c>
      <x:c r="N31" s="33" t="str">
        <x:f>IF(AND(B31="",E31=""),"",IF(A31="","THIẾU ID",IF(COUNTIF($A$8:$A$49,A31)&gt;1,"TRÙNG ID",IF(COUNTIF(HANG_MUC!$A$6:$A$50,B31)=0,"SAI HẠNG MỤC","OK"))))</x:f>
      </x:c>
    </x:row>
    <x:row r="32">
      <x:c r="A32" s="33" t="str">
        <x:f>IF(OR(B32="",D32=""),"",B32&amp;"-"&amp;IF(OR(C32="",C32="-"),"X",UPPER(C32))&amp;"-"&amp;TEXT(D32,"00"))</x:f>
      </x:c>
      <x:c r="B32" s="26"/>
      <x:c r="C32" s="26"/>
      <x:c r="D32" s="35"/>
      <x:c r="E32" s="28"/>
      <x:c r="F32" s="28"/>
      <x:c r="G32" s="28"/>
      <x:c r="H32" s="28"/>
      <x:c r="I32" s="28"/>
      <x:c r="J32" s="28"/>
      <x:c r="K32" s="28"/>
      <x:c r="L32" s="33"/>
      <x:c r="M32" s="33" t="str">
        <x:f>IF(E32="","CHỜ NHẬP","ĐÃ CÓ DỮ LIỆU")</x:f>
        <x:v>CHỜ NHẬP</x:v>
      </x:c>
      <x:c r="N32" s="33" t="str">
        <x:f>IF(AND(B32="",E32=""),"",IF(A32="","THIẾU ID",IF(COUNTIF($A$8:$A$49,A32)&gt;1,"TRÙNG ID",IF(COUNTIF(HANG_MUC!$A$6:$A$50,B32)=0,"SAI HẠNG MỤC","OK"))))</x:f>
      </x:c>
    </x:row>
    <x:row r="33">
      <x:c r="A33" s="33" t="str">
        <x:f>IF(OR(B33="",D33=""),"",B33&amp;"-"&amp;IF(OR(C33="",C33="-"),"X",UPPER(C33))&amp;"-"&amp;TEXT(D33,"00"))</x:f>
      </x:c>
      <x:c r="B33" s="26"/>
      <x:c r="C33" s="26"/>
      <x:c r="D33" s="35"/>
      <x:c r="E33" s="28"/>
      <x:c r="F33" s="28"/>
      <x:c r="G33" s="28"/>
      <x:c r="H33" s="28"/>
      <x:c r="I33" s="28"/>
      <x:c r="J33" s="28"/>
      <x:c r="K33" s="28"/>
      <x:c r="L33" s="33"/>
      <x:c r="M33" s="33" t="str">
        <x:f>IF(E33="","CHỜ NHẬP","ĐÃ CÓ DỮ LIỆU")</x:f>
        <x:v>CHỜ NHẬP</x:v>
      </x:c>
      <x:c r="N33" s="33" t="str">
        <x:f>IF(AND(B33="",E33=""),"",IF(A33="","THIẾU ID",IF(COUNTIF($A$8:$A$49,A33)&gt;1,"TRÙNG ID",IF(COUNTIF(HANG_MUC!$A$6:$A$50,B33)=0,"SAI HẠNG MỤC","OK"))))</x:f>
      </x:c>
    </x:row>
    <x:row r="34">
      <x:c r="A34" s="33" t="str">
        <x:f>IF(OR(B34="",D34=""),"",B34&amp;"-"&amp;IF(OR(C34="",C34="-"),"X",UPPER(C34))&amp;"-"&amp;TEXT(D34,"00"))</x:f>
      </x:c>
      <x:c r="B34" s="26"/>
      <x:c r="C34" s="26"/>
      <x:c r="D34" s="35"/>
      <x:c r="E34" s="28"/>
      <x:c r="F34" s="28"/>
      <x:c r="G34" s="28"/>
      <x:c r="H34" s="28"/>
      <x:c r="I34" s="28"/>
      <x:c r="J34" s="28"/>
      <x:c r="K34" s="28"/>
      <x:c r="L34" s="33"/>
      <x:c r="M34" s="33" t="str">
        <x:f>IF(E34="","CHỜ NHẬP","ĐÃ CÓ DỮ LIỆU")</x:f>
        <x:v>CHỜ NHẬP</x:v>
      </x:c>
      <x:c r="N34" s="33" t="str">
        <x:f>IF(AND(B34="",E34=""),"",IF(A34="","THIẾU ID",IF(COUNTIF($A$8:$A$49,A34)&gt;1,"TRÙNG ID",IF(COUNTIF(HANG_MUC!$A$6:$A$50,B34)=0,"SAI HẠNG MỤC","OK"))))</x:f>
      </x:c>
    </x:row>
    <x:row r="35">
      <x:c r="A35" s="33" t="str">
        <x:f>IF(OR(B35="",D35=""),"",B35&amp;"-"&amp;IF(OR(C35="",C35="-"),"X",UPPER(C35))&amp;"-"&amp;TEXT(D35,"00"))</x:f>
      </x:c>
      <x:c r="B35" s="26"/>
      <x:c r="C35" s="26"/>
      <x:c r="D35" s="35"/>
      <x:c r="E35" s="28"/>
      <x:c r="F35" s="28"/>
      <x:c r="G35" s="28"/>
      <x:c r="H35" s="28"/>
      <x:c r="I35" s="28"/>
      <x:c r="J35" s="28"/>
      <x:c r="K35" s="28"/>
      <x:c r="L35" s="33"/>
      <x:c r="M35" s="33" t="str">
        <x:f>IF(E35="","CHỜ NHẬP","ĐÃ CÓ DỮ LIỆU")</x:f>
        <x:v>CHỜ NHẬP</x:v>
      </x:c>
      <x:c r="N35" s="33" t="str">
        <x:f>IF(AND(B35="",E35=""),"",IF(A35="","THIẾU ID",IF(COUNTIF($A$8:$A$49,A35)&gt;1,"TRÙNG ID",IF(COUNTIF(HANG_MUC!$A$6:$A$50,B35)=0,"SAI HẠNG MỤC","OK"))))</x:f>
      </x:c>
    </x:row>
    <x:row r="36">
      <x:c r="A36" s="33" t="str">
        <x:f>IF(OR(B36="",D36=""),"",B36&amp;"-"&amp;IF(OR(C36="",C36="-"),"X",UPPER(C36))&amp;"-"&amp;TEXT(D36,"00"))</x:f>
      </x:c>
      <x:c r="B36" s="26"/>
      <x:c r="C36" s="26"/>
      <x:c r="D36" s="35"/>
      <x:c r="E36" s="28"/>
      <x:c r="F36" s="28"/>
      <x:c r="G36" s="28"/>
      <x:c r="H36" s="28"/>
      <x:c r="I36" s="28"/>
      <x:c r="J36" s="28"/>
      <x:c r="K36" s="28"/>
      <x:c r="L36" s="33"/>
      <x:c r="M36" s="33" t="str">
        <x:f>IF(E36="","CHỜ NHẬP","ĐÃ CÓ DỮ LIỆU")</x:f>
        <x:v>CHỜ NHẬP</x:v>
      </x:c>
      <x:c r="N36" s="33" t="str">
        <x:f>IF(AND(B36="",E36=""),"",IF(A36="","THIẾU ID",IF(COUNTIF($A$8:$A$49,A36)&gt;1,"TRÙNG ID",IF(COUNTIF(HANG_MUC!$A$6:$A$50,B36)=0,"SAI HẠNG MỤC","OK"))))</x:f>
      </x:c>
    </x:row>
    <x:row r="37">
      <x:c r="A37" s="33" t="str">
        <x:f>IF(OR(B37="",D37=""),"",B37&amp;"-"&amp;IF(OR(C37="",C37="-"),"X",UPPER(C37))&amp;"-"&amp;TEXT(D37,"00"))</x:f>
      </x:c>
      <x:c r="B37" s="26"/>
      <x:c r="C37" s="26"/>
      <x:c r="D37" s="35"/>
      <x:c r="E37" s="28"/>
      <x:c r="F37" s="28"/>
      <x:c r="G37" s="28"/>
      <x:c r="H37" s="28"/>
      <x:c r="I37" s="28"/>
      <x:c r="J37" s="28"/>
      <x:c r="K37" s="28"/>
      <x:c r="L37" s="33"/>
      <x:c r="M37" s="33" t="str">
        <x:f>IF(E37="","CHỜ NHẬP","ĐÃ CÓ DỮ LIỆU")</x:f>
        <x:v>CHỜ NHẬP</x:v>
      </x:c>
      <x:c r="N37" s="33" t="str">
        <x:f>IF(AND(B37="",E37=""),"",IF(A37="","THIẾU ID",IF(COUNTIF($A$8:$A$49,A37)&gt;1,"TRÙNG ID",IF(COUNTIF(HANG_MUC!$A$6:$A$50,B37)=0,"SAI HẠNG MỤC","OK"))))</x:f>
      </x:c>
    </x:row>
    <x:row r="38">
      <x:c r="A38" s="33" t="str">
        <x:f>IF(OR(B38="",D38=""),"",B38&amp;"-"&amp;IF(OR(C38="",C38="-"),"X",UPPER(C38))&amp;"-"&amp;TEXT(D38,"00"))</x:f>
      </x:c>
      <x:c r="B38" s="26"/>
      <x:c r="C38" s="26"/>
      <x:c r="D38" s="35"/>
      <x:c r="E38" s="28"/>
      <x:c r="F38" s="28"/>
      <x:c r="G38" s="28"/>
      <x:c r="H38" s="28"/>
      <x:c r="I38" s="28"/>
      <x:c r="J38" s="28"/>
      <x:c r="K38" s="28"/>
      <x:c r="L38" s="33"/>
      <x:c r="M38" s="33" t="str">
        <x:f>IF(E38="","CHỜ NHẬP","ĐÃ CÓ DỮ LIỆU")</x:f>
        <x:v>CHỜ NHẬP</x:v>
      </x:c>
      <x:c r="N38" s="33" t="str">
        <x:f>IF(AND(B38="",E38=""),"",IF(A38="","THIẾU ID",IF(COUNTIF($A$8:$A$49,A38)&gt;1,"TRÙNG ID",IF(COUNTIF(HANG_MUC!$A$6:$A$50,B38)=0,"SAI HẠNG MỤC","OK"))))</x:f>
      </x:c>
    </x:row>
    <x:row r="39">
      <x:c r="A39" s="33" t="str">
        <x:f>IF(OR(B39="",D39=""),"",B39&amp;"-"&amp;IF(OR(C39="",C39="-"),"X",UPPER(C39))&amp;"-"&amp;TEXT(D39,"00"))</x:f>
      </x:c>
      <x:c r="B39" s="26"/>
      <x:c r="C39" s="26"/>
      <x:c r="D39" s="35"/>
      <x:c r="E39" s="28"/>
      <x:c r="F39" s="28"/>
      <x:c r="G39" s="28"/>
      <x:c r="H39" s="28"/>
      <x:c r="I39" s="28"/>
      <x:c r="J39" s="28"/>
      <x:c r="K39" s="28"/>
      <x:c r="L39" s="33"/>
      <x:c r="M39" s="33" t="str">
        <x:f>IF(E39="","CHỜ NHẬP","ĐÃ CÓ DỮ LIỆU")</x:f>
        <x:v>CHỜ NHẬP</x:v>
      </x:c>
      <x:c r="N39" s="33" t="str">
        <x:f>IF(AND(B39="",E39=""),"",IF(A39="","THIẾU ID",IF(COUNTIF($A$8:$A$49,A39)&gt;1,"TRÙNG ID",IF(COUNTIF(HANG_MUC!$A$6:$A$50,B39)=0,"SAI HẠNG MỤC","OK"))))</x:f>
      </x:c>
    </x:row>
    <x:row r="40">
      <x:c r="A40" s="33" t="str">
        <x:f>IF(OR(B40="",D40=""),"",B40&amp;"-"&amp;IF(OR(C40="",C40="-"),"X",UPPER(C40))&amp;"-"&amp;TEXT(D40,"00"))</x:f>
      </x:c>
      <x:c r="B40" s="26"/>
      <x:c r="C40" s="26"/>
      <x:c r="D40" s="35"/>
      <x:c r="E40" s="28"/>
      <x:c r="F40" s="28"/>
      <x:c r="G40" s="28"/>
      <x:c r="H40" s="28"/>
      <x:c r="I40" s="28"/>
      <x:c r="J40" s="28"/>
      <x:c r="K40" s="28"/>
      <x:c r="L40" s="33"/>
      <x:c r="M40" s="33" t="str">
        <x:f>IF(E40="","CHỜ NHẬP","ĐÃ CÓ DỮ LIỆU")</x:f>
        <x:v>CHỜ NHẬP</x:v>
      </x:c>
      <x:c r="N40" s="33" t="str">
        <x:f>IF(AND(B40="",E40=""),"",IF(A40="","THIẾU ID",IF(COUNTIF($A$8:$A$49,A40)&gt;1,"TRÙNG ID",IF(COUNTIF(HANG_MUC!$A$6:$A$50,B40)=0,"SAI HẠNG MỤC","OK"))))</x:f>
      </x:c>
    </x:row>
    <x:row r="41">
      <x:c r="A41" s="33" t="str">
        <x:f>IF(OR(B41="",D41=""),"",B41&amp;"-"&amp;IF(OR(C41="",C41="-"),"X",UPPER(C41))&amp;"-"&amp;TEXT(D41,"00"))</x:f>
      </x:c>
      <x:c r="B41" s="26"/>
      <x:c r="C41" s="26"/>
      <x:c r="D41" s="35"/>
      <x:c r="E41" s="28"/>
      <x:c r="F41" s="28"/>
      <x:c r="G41" s="28"/>
      <x:c r="H41" s="28"/>
      <x:c r="I41" s="28"/>
      <x:c r="J41" s="28"/>
      <x:c r="K41" s="28"/>
      <x:c r="L41" s="33"/>
      <x:c r="M41" s="33" t="str">
        <x:f>IF(E41="","CHỜ NHẬP","ĐÃ CÓ DỮ LIỆU")</x:f>
        <x:v>CHỜ NHẬP</x:v>
      </x:c>
      <x:c r="N41" s="33" t="str">
        <x:f>IF(AND(B41="",E41=""),"",IF(A41="","THIẾU ID",IF(COUNTIF($A$8:$A$49,A41)&gt;1,"TRÙNG ID",IF(COUNTIF(HANG_MUC!$A$6:$A$50,B41)=0,"SAI HẠNG MỤC","OK"))))</x:f>
      </x:c>
    </x:row>
    <x:row r="42">
      <x:c r="A42" s="33" t="str">
        <x:f>IF(OR(B42="",D42=""),"",B42&amp;"-"&amp;IF(OR(C42="",C42="-"),"X",UPPER(C42))&amp;"-"&amp;TEXT(D42,"00"))</x:f>
      </x:c>
      <x:c r="B42" s="26"/>
      <x:c r="C42" s="26"/>
      <x:c r="D42" s="35"/>
      <x:c r="E42" s="28"/>
      <x:c r="F42" s="28"/>
      <x:c r="G42" s="28"/>
      <x:c r="H42" s="28"/>
      <x:c r="I42" s="28"/>
      <x:c r="J42" s="28"/>
      <x:c r="K42" s="28"/>
      <x:c r="L42" s="33"/>
      <x:c r="M42" s="33" t="str">
        <x:f>IF(E42="","CHỜ NHẬP","ĐÃ CÓ DỮ LIỆU")</x:f>
        <x:v>CHỜ NHẬP</x:v>
      </x:c>
      <x:c r="N42" s="33" t="str">
        <x:f>IF(AND(B42="",E42=""),"",IF(A42="","THIẾU ID",IF(COUNTIF($A$8:$A$49,A42)&gt;1,"TRÙNG ID",IF(COUNTIF(HANG_MUC!$A$6:$A$50,B42)=0,"SAI HẠNG MỤC","OK"))))</x:f>
      </x:c>
    </x:row>
    <x:row r="43">
      <x:c r="A43" s="33" t="str">
        <x:f>IF(OR(B43="",D43=""),"",B43&amp;"-"&amp;IF(OR(C43="",C43="-"),"X",UPPER(C43))&amp;"-"&amp;TEXT(D43,"00"))</x:f>
      </x:c>
      <x:c r="B43" s="26"/>
      <x:c r="C43" s="26"/>
      <x:c r="D43" s="35"/>
      <x:c r="E43" s="28"/>
      <x:c r="F43" s="28"/>
      <x:c r="G43" s="28"/>
      <x:c r="H43" s="28"/>
      <x:c r="I43" s="28"/>
      <x:c r="J43" s="28"/>
      <x:c r="K43" s="28"/>
      <x:c r="L43" s="33"/>
      <x:c r="M43" s="33" t="str">
        <x:f>IF(E43="","CHỜ NHẬP","ĐÃ CÓ DỮ LIỆU")</x:f>
        <x:v>CHỜ NHẬP</x:v>
      </x:c>
      <x:c r="N43" s="33" t="str">
        <x:f>IF(AND(B43="",E43=""),"",IF(A43="","THIẾU ID",IF(COUNTIF($A$8:$A$49,A43)&gt;1,"TRÙNG ID",IF(COUNTIF(HANG_MUC!$A$6:$A$50,B43)=0,"SAI HẠNG MỤC","OK"))))</x:f>
      </x:c>
    </x:row>
    <x:row r="44">
      <x:c r="A44" s="33" t="str">
        <x:f>IF(OR(B44="",D44=""),"",B44&amp;"-"&amp;IF(OR(C44="",C44="-"),"X",UPPER(C44))&amp;"-"&amp;TEXT(D44,"00"))</x:f>
      </x:c>
      <x:c r="B44" s="26"/>
      <x:c r="C44" s="26"/>
      <x:c r="D44" s="35"/>
      <x:c r="E44" s="28"/>
      <x:c r="F44" s="28"/>
      <x:c r="G44" s="28"/>
      <x:c r="H44" s="28"/>
      <x:c r="I44" s="28"/>
      <x:c r="J44" s="28"/>
      <x:c r="K44" s="28"/>
      <x:c r="L44" s="33"/>
      <x:c r="M44" s="33" t="str">
        <x:f>IF(E44="","CHỜ NHẬP","ĐÃ CÓ DỮ LIỆU")</x:f>
        <x:v>CHỜ NHẬP</x:v>
      </x:c>
      <x:c r="N44" s="33" t="str">
        <x:f>IF(AND(B44="",E44=""),"",IF(A44="","THIẾU ID",IF(COUNTIF($A$8:$A$49,A44)&gt;1,"TRÙNG ID",IF(COUNTIF(HANG_MUC!$A$6:$A$50,B44)=0,"SAI HẠNG MỤC","OK"))))</x:f>
      </x:c>
    </x:row>
    <x:row r="45">
      <x:c r="A45" s="33" t="str">
        <x:f>IF(OR(B45="",D45=""),"",B45&amp;"-"&amp;IF(OR(C45="",C45="-"),"X",UPPER(C45))&amp;"-"&amp;TEXT(D45,"00"))</x:f>
      </x:c>
      <x:c r="B45" s="26"/>
      <x:c r="C45" s="26"/>
      <x:c r="D45" s="35"/>
      <x:c r="E45" s="28"/>
      <x:c r="F45" s="28"/>
      <x:c r="G45" s="28"/>
      <x:c r="H45" s="28"/>
      <x:c r="I45" s="28"/>
      <x:c r="J45" s="28"/>
      <x:c r="K45" s="28"/>
      <x:c r="L45" s="33"/>
      <x:c r="M45" s="33" t="str">
        <x:f>IF(E45="","CHỜ NHẬP","ĐÃ CÓ DỮ LIỆU")</x:f>
        <x:v>CHỜ NHẬP</x:v>
      </x:c>
      <x:c r="N45" s="33" t="str">
        <x:f>IF(AND(B45="",E45=""),"",IF(A45="","THIẾU ID",IF(COUNTIF($A$8:$A$49,A45)&gt;1,"TRÙNG ID",IF(COUNTIF(HANG_MUC!$A$6:$A$50,B45)=0,"SAI HẠNG MỤC","OK"))))</x:f>
      </x:c>
    </x:row>
    <x:row r="46">
      <x:c r="A46" s="33" t="str">
        <x:f>IF(OR(B46="",D46=""),"",B46&amp;"-"&amp;IF(OR(C46="",C46="-"),"X",UPPER(C46))&amp;"-"&amp;TEXT(D46,"00"))</x:f>
      </x:c>
      <x:c r="B46" s="26"/>
      <x:c r="C46" s="26"/>
      <x:c r="D46" s="35"/>
      <x:c r="E46" s="28"/>
      <x:c r="F46" s="28"/>
      <x:c r="G46" s="28"/>
      <x:c r="H46" s="28"/>
      <x:c r="I46" s="28"/>
      <x:c r="J46" s="28"/>
      <x:c r="K46" s="28"/>
      <x:c r="L46" s="33"/>
      <x:c r="M46" s="33" t="str">
        <x:f>IF(E46="","CHỜ NHẬP","ĐÃ CÓ DỮ LIỆU")</x:f>
        <x:v>CHỜ NHẬP</x:v>
      </x:c>
      <x:c r="N46" s="33" t="str">
        <x:f>IF(AND(B46="",E46=""),"",IF(A46="","THIẾU ID",IF(COUNTIF($A$8:$A$49,A46)&gt;1,"TRÙNG ID",IF(COUNTIF(HANG_MUC!$A$6:$A$50,B46)=0,"SAI HẠNG MỤC","OK"))))</x:f>
      </x:c>
    </x:row>
    <x:row r="47">
      <x:c r="A47" s="33" t="str">
        <x:f>IF(OR(B47="",D47=""),"",B47&amp;"-"&amp;IF(OR(C47="",C47="-"),"X",UPPER(C47))&amp;"-"&amp;TEXT(D47,"00"))</x:f>
      </x:c>
      <x:c r="B47" s="26"/>
      <x:c r="C47" s="26"/>
      <x:c r="D47" s="35"/>
      <x:c r="E47" s="28"/>
      <x:c r="F47" s="28"/>
      <x:c r="G47" s="28"/>
      <x:c r="H47" s="28"/>
      <x:c r="I47" s="28"/>
      <x:c r="J47" s="28"/>
      <x:c r="K47" s="28"/>
      <x:c r="L47" s="33"/>
      <x:c r="M47" s="33" t="str">
        <x:f>IF(E47="","CHỜ NHẬP","ĐÃ CÓ DỮ LIỆU")</x:f>
        <x:v>CHỜ NHẬP</x:v>
      </x:c>
      <x:c r="N47" s="33" t="str">
        <x:f>IF(AND(B47="",E47=""),"",IF(A47="","THIẾU ID",IF(COUNTIF($A$8:$A$49,A47)&gt;1,"TRÙNG ID",IF(COUNTIF(HANG_MUC!$A$6:$A$50,B47)=0,"SAI HẠNG MỤC","OK"))))</x:f>
      </x:c>
    </x:row>
    <x:row r="48">
      <x:c r="A48" s="33" t="str">
        <x:f>IF(OR(B48="",D48=""),"",B48&amp;"-"&amp;IF(OR(C48="",C48="-"),"X",UPPER(C48))&amp;"-"&amp;TEXT(D48,"00"))</x:f>
      </x:c>
      <x:c r="B48" s="26"/>
      <x:c r="C48" s="26"/>
      <x:c r="D48" s="35"/>
      <x:c r="E48" s="28"/>
      <x:c r="F48" s="28"/>
      <x:c r="G48" s="28"/>
      <x:c r="H48" s="28"/>
      <x:c r="I48" s="28"/>
      <x:c r="J48" s="28"/>
      <x:c r="K48" s="28"/>
      <x:c r="L48" s="33"/>
      <x:c r="M48" s="33" t="str">
        <x:f>IF(E48="","CHỜ NHẬP","ĐÃ CÓ DỮ LIỆU")</x:f>
        <x:v>CHỜ NHẬP</x:v>
      </x:c>
      <x:c r="N48" s="33" t="str">
        <x:f>IF(AND(B48="",E48=""),"",IF(A48="","THIẾU ID",IF(COUNTIF($A$8:$A$49,A48)&gt;1,"TRÙNG ID",IF(COUNTIF(HANG_MUC!$A$6:$A$50,B48)=0,"SAI HẠNG MỤC","OK"))))</x:f>
      </x:c>
    </x:row>
    <x:row r="49">
      <x:c r="A49" s="33" t="str">
        <x:f>IF(OR(B49="",D49=""),"",B49&amp;"-"&amp;IF(OR(C49="",C49="-"),"X",UPPER(C49))&amp;"-"&amp;TEXT(D49,"00"))</x:f>
      </x:c>
      <x:c r="B49" s="26"/>
      <x:c r="C49" s="26"/>
      <x:c r="D49" s="35"/>
      <x:c r="E49" s="28"/>
      <x:c r="F49" s="28"/>
      <x:c r="G49" s="28"/>
      <x:c r="H49" s="28"/>
      <x:c r="I49" s="28"/>
      <x:c r="J49" s="28"/>
      <x:c r="K49" s="28"/>
      <x:c r="L49" s="33"/>
      <x:c r="M49" s="33" t="str">
        <x:f>IF(E49="","CHỜ NHẬP","ĐÃ CÓ DỮ LIỆU")</x:f>
        <x:v>CHỜ NHẬP</x:v>
      </x:c>
      <x:c r="N49" s="33" t="str">
        <x:f>IF(AND(B49="",E49=""),"",IF(A49="","THIẾU ID",IF(COUNTIF($A$8:$A$49,A49)&gt;1,"TRÙNG ID",IF(COUNTIF(HANG_MUC!$A$6:$A$50,B49)=0,"SAI HẠNG MỤC","OK"))))</x:f>
      </x:c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49">
    <x:cfRule type="containsText" dxfId="41" priority="1" operator="containsText" text="TRÙNG"/>
    <x:cfRule type="containsText" dxfId="42" priority="2" operator="containsText" text="SAI"/>
    <x:cfRule type="containsText" dxfId="43" priority="3" operator="containsText" text="THIẾU"/>
    <x:cfRule type="containsText" dxfId="44" priority="4" operator="containsText" text="OK"/>
  </x:conditionalFormatting>
  <x:conditionalFormatting sqref="M8:M49">
    <x:cfRule type="containsText" dxfId="45" priority="5" operator="containsText" text="CHỜ"/>
  </x:conditionalFormatting>
  <x:dataValidations count="3">
    <x:dataValidation type="list" sqref="B8:B49">
      <x:formula1>HANG_MUC!$A$35:$A$36</x:formula1>
    </x:dataValidation>
    <x:dataValidation type="list" sqref="C8:C49">
      <x:formula1>"-,A,B,C,D,E,F,G,H"</x:formula1>
    </x:dataValidation>
    <x:dataValidation type="whole" operator="between" sqref="D8:D49">
      <x:formula1>1</x:formula1>
      <x:formula2>999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Pickleball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PB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PB-DON-NAM45-A-01</x:v>
      </x:c>
      <x:c r="B8" s="24" t="str">
        <x:v>PB-DON-NAM45</x:v>
      </x:c>
      <x:c r="C8" s="24" t="str">
        <x:v>A</x:v>
      </x:c>
      <x:c r="D8" s="34" t="n">
        <x:v>1</x:v>
      </x:c>
      <x:c r="E8" s="27" t="str"/>
      <x:c r="F8" s="27" t="str"/>
      <x:c r="G8" s="27" t="str"/>
      <x:c r="H8" s="27" t="str"/>
      <x:c r="I8" s="27" t="str"/>
      <x:c r="J8" s="27" t="str"/>
      <x:c r="K8" s="27" t="str">
        <x:v>PDF scan: điền tên theo danh sách gốc</x:v>
      </x:c>
      <x:c r="L8" s="32" t="n">
        <x:v>1</x:v>
      </x:c>
      <x:c r="M8" s="32" t="str">
        <x:f>IF(E8="","CHỜ NHẬP","ĐÃ CÓ DỮ LIỆU")</x:f>
        <x:v>CHỜ NHẬP</x:v>
      </x:c>
      <x:c r="N8" s="32" t="str">
        <x:f>IF(AND(B8="",E8=""),"",IF(A8="","THIẾU ID",IF(COUNTIF($A$8:$A$193,A8)&gt;1,"TRÙNG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PB-DON-NAM45-A-02</x:v>
      </x:c>
      <x:c r="B9" s="26" t="str">
        <x:v>PB-DON-NAM45</x:v>
      </x:c>
      <x:c r="C9" s="26" t="str">
        <x:v>A</x:v>
      </x:c>
      <x:c r="D9" s="35" t="n">
        <x:v>2</x:v>
      </x:c>
      <x:c r="E9" s="28" t="str"/>
      <x:c r="F9" s="28" t="str"/>
      <x:c r="G9" s="28" t="str"/>
      <x:c r="H9" s="28" t="str"/>
      <x:c r="I9" s="28" t="str"/>
      <x:c r="J9" s="28" t="str"/>
      <x:c r="K9" s="28" t="str">
        <x:v>PDF scan: điền tên theo danh sách gốc</x:v>
      </x:c>
      <x:c r="L9" s="33" t="n">
        <x:v>1</x:v>
      </x:c>
      <x:c r="M9" s="33" t="str">
        <x:f>IF(E9="","CHỜ NHẬP","ĐÃ CÓ DỮ LIỆU")</x:f>
        <x:v>CHỜ NHẬP</x:v>
      </x:c>
      <x:c r="N9" s="33" t="str">
        <x:f>IF(AND(B9="",E9=""),"",IF(A9="","THIẾU ID",IF(COUNTIF($A$8:$A$193,A9)&gt;1,"TRÙNG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PB-DON-NAM45-A-03</x:v>
      </x:c>
      <x:c r="B10" s="26" t="str">
        <x:v>PB-DON-NAM45</x:v>
      </x:c>
      <x:c r="C10" s="26" t="str">
        <x:v>A</x:v>
      </x:c>
      <x:c r="D10" s="35" t="n">
        <x:v>3</x:v>
      </x:c>
      <x:c r="E10" s="28" t="str"/>
      <x:c r="F10" s="28" t="str"/>
      <x:c r="G10" s="28" t="str"/>
      <x:c r="H10" s="28" t="str"/>
      <x:c r="I10" s="28" t="str"/>
      <x:c r="J10" s="28" t="str"/>
      <x:c r="K10" s="28" t="str">
        <x:v>PDF scan: điền tên theo danh sách gốc</x:v>
      </x:c>
      <x:c r="L10" s="33" t="n">
        <x:v>1</x:v>
      </x:c>
      <x:c r="M10" s="33" t="str">
        <x:f>IF(E10="","CHỜ NHẬP","ĐÃ CÓ DỮ LIỆU")</x:f>
        <x:v>CHỜ NHẬP</x:v>
      </x:c>
      <x:c r="N10" s="33" t="str">
        <x:f>IF(AND(B10="",E10=""),"",IF(A10="","THIẾU ID",IF(COUNTIF($A$8:$A$193,A10)&gt;1,"TRÙNG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PB-DON-NAM45-A-04</x:v>
      </x:c>
      <x:c r="B11" s="26" t="str">
        <x:v>PB-DON-NAM45</x:v>
      </x:c>
      <x:c r="C11" s="26" t="str">
        <x:v>A</x:v>
      </x:c>
      <x:c r="D11" s="35" t="n">
        <x:v>4</x:v>
      </x:c>
      <x:c r="E11" s="28" t="str"/>
      <x:c r="F11" s="28" t="str"/>
      <x:c r="G11" s="28" t="str"/>
      <x:c r="H11" s="28" t="str"/>
      <x:c r="I11" s="28" t="str"/>
      <x:c r="J11" s="28" t="str"/>
      <x:c r="K11" s="28" t="str">
        <x:v>PDF scan: điền tên theo danh sách gốc</x:v>
      </x:c>
      <x:c r="L11" s="33" t="n">
        <x:v>1</x:v>
      </x:c>
      <x:c r="M11" s="33" t="str">
        <x:f>IF(E11="","CHỜ NHẬP","ĐÃ CÓ DỮ LIỆU")</x:f>
        <x:v>CHỜ NHẬP</x:v>
      </x:c>
      <x:c r="N11" s="33" t="str">
        <x:f>IF(AND(B11="",E11=""),"",IF(A11="","THIẾU ID",IF(COUNTIF($A$8:$A$193,A11)&gt;1,"TRÙNG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PB-DON-NAM45-B-01</x:v>
      </x:c>
      <x:c r="B12" s="26" t="str">
        <x:v>PB-DON-NAM45</x:v>
      </x:c>
      <x:c r="C12" s="26" t="str">
        <x:v>B</x:v>
      </x:c>
      <x:c r="D12" s="35" t="n">
        <x:v>1</x:v>
      </x:c>
      <x:c r="E12" s="28" t="str"/>
      <x:c r="F12" s="28" t="str"/>
      <x:c r="G12" s="28" t="str"/>
      <x:c r="H12" s="28" t="str"/>
      <x:c r="I12" s="28" t="str"/>
      <x:c r="J12" s="28" t="str"/>
      <x:c r="K12" s="28" t="str">
        <x:v>PDF scan: điền tên theo danh sách gốc</x:v>
      </x:c>
      <x:c r="L12" s="33" t="n">
        <x:v>1</x:v>
      </x:c>
      <x:c r="M12" s="33" t="str">
        <x:f>IF(E12="","CHỜ NHẬP","ĐÃ CÓ DỮ LIỆU")</x:f>
        <x:v>CHỜ NHẬP</x:v>
      </x:c>
      <x:c r="N12" s="33" t="str">
        <x:f>IF(AND(B12="",E12=""),"",IF(A12="","THIẾU ID",IF(COUNTIF($A$8:$A$193,A12)&gt;1,"TRÙNG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PB-DON-NAM45-B-02</x:v>
      </x:c>
      <x:c r="B13" s="26" t="str">
        <x:v>PB-DON-NAM45</x:v>
      </x:c>
      <x:c r="C13" s="26" t="str">
        <x:v>B</x:v>
      </x:c>
      <x:c r="D13" s="35" t="n">
        <x:v>2</x:v>
      </x:c>
      <x:c r="E13" s="28" t="str"/>
      <x:c r="F13" s="28" t="str"/>
      <x:c r="G13" s="28" t="str"/>
      <x:c r="H13" s="28" t="str"/>
      <x:c r="I13" s="28" t="str"/>
      <x:c r="J13" s="28" t="str"/>
      <x:c r="K13" s="28" t="str">
        <x:v>PDF scan: điền tên theo danh sách gốc</x:v>
      </x:c>
      <x:c r="L13" s="33" t="n">
        <x:v>1</x:v>
      </x:c>
      <x:c r="M13" s="33" t="str">
        <x:f>IF(E13="","CHỜ NHẬP","ĐÃ CÓ DỮ LIỆU")</x:f>
        <x:v>CHỜ NHẬP</x:v>
      </x:c>
      <x:c r="N13" s="33" t="str">
        <x:f>IF(AND(B13="",E13=""),"",IF(A13="","THIẾU ID",IF(COUNTIF($A$8:$A$193,A13)&gt;1,"TRÙNG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PB-DON-NAM45-B-03</x:v>
      </x:c>
      <x:c r="B14" s="26" t="str">
        <x:v>PB-DON-NAM45</x:v>
      </x:c>
      <x:c r="C14" s="26" t="str">
        <x:v>B</x:v>
      </x:c>
      <x:c r="D14" s="35" t="n">
        <x:v>3</x:v>
      </x:c>
      <x:c r="E14" s="28" t="str"/>
      <x:c r="F14" s="28" t="str"/>
      <x:c r="G14" s="28" t="str"/>
      <x:c r="H14" s="28" t="str"/>
      <x:c r="I14" s="28" t="str"/>
      <x:c r="J14" s="28" t="str"/>
      <x:c r="K14" s="28" t="str">
        <x:v>PDF scan: điền tên theo danh sách gốc</x:v>
      </x:c>
      <x:c r="L14" s="33" t="n">
        <x:v>1</x:v>
      </x:c>
      <x:c r="M14" s="33" t="str">
        <x:f>IF(E14="","CHỜ NHẬP","ĐÃ CÓ DỮ LIỆU")</x:f>
        <x:v>CHỜ NHẬP</x:v>
      </x:c>
      <x:c r="N14" s="33" t="str">
        <x:f>IF(AND(B14="",E14=""),"",IF(A14="","THIẾU ID",IF(COUNTIF($A$8:$A$193,A14)&gt;1,"TRÙNG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PB-DON-NAM45-C-01</x:v>
      </x:c>
      <x:c r="B15" s="26" t="str">
        <x:v>PB-DON-NAM45</x:v>
      </x:c>
      <x:c r="C15" s="26" t="str">
        <x:v>C</x:v>
      </x:c>
      <x:c r="D15" s="35" t="n">
        <x:v>1</x:v>
      </x:c>
      <x:c r="E15" s="28" t="str"/>
      <x:c r="F15" s="28" t="str"/>
      <x:c r="G15" s="28" t="str"/>
      <x:c r="H15" s="28" t="str"/>
      <x:c r="I15" s="28" t="str"/>
      <x:c r="J15" s="28" t="str"/>
      <x:c r="K15" s="28" t="str">
        <x:v>PDF scan: điền tên theo danh sách gốc</x:v>
      </x:c>
      <x:c r="L15" s="33" t="n">
        <x:v>1</x:v>
      </x:c>
      <x:c r="M15" s="33" t="str">
        <x:f>IF(E15="","CHỜ NHẬP","ĐÃ CÓ DỮ LIỆU")</x:f>
        <x:v>CHỜ NHẬP</x:v>
      </x:c>
      <x:c r="N15" s="33" t="str">
        <x:f>IF(AND(B15="",E15=""),"",IF(A15="","THIẾU ID",IF(COUNTIF($A$8:$A$193,A15)&gt;1,"TRÙNG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PB-DON-NAM45-C-02</x:v>
      </x:c>
      <x:c r="B16" s="26" t="str">
        <x:v>PB-DON-NAM45</x:v>
      </x:c>
      <x:c r="C16" s="26" t="str">
        <x:v>C</x:v>
      </x:c>
      <x:c r="D16" s="35" t="n">
        <x:v>2</x:v>
      </x:c>
      <x:c r="E16" s="28" t="str"/>
      <x:c r="F16" s="28" t="str"/>
      <x:c r="G16" s="28" t="str"/>
      <x:c r="H16" s="28" t="str"/>
      <x:c r="I16" s="28" t="str"/>
      <x:c r="J16" s="28" t="str"/>
      <x:c r="K16" s="28" t="str">
        <x:v>PDF scan: điền tên theo danh sách gốc</x:v>
      </x:c>
      <x:c r="L16" s="33" t="n">
        <x:v>1</x:v>
      </x:c>
      <x:c r="M16" s="33" t="str">
        <x:f>IF(E16="","CHỜ NHẬP","ĐÃ CÓ DỮ LIỆU")</x:f>
        <x:v>CHỜ NHẬP</x:v>
      </x:c>
      <x:c r="N16" s="33" t="str">
        <x:f>IF(AND(B16="",E16=""),"",IF(A16="","THIẾU ID",IF(COUNTIF($A$8:$A$193,A16)&gt;1,"TRÙNG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PB-DON-NAM45-C-03</x:v>
      </x:c>
      <x:c r="B17" s="26" t="str">
        <x:v>PB-DON-NAM45</x:v>
      </x:c>
      <x:c r="C17" s="26" t="str">
        <x:v>C</x:v>
      </x:c>
      <x:c r="D17" s="35" t="n">
        <x:v>3</x:v>
      </x:c>
      <x:c r="E17" s="28" t="str"/>
      <x:c r="F17" s="28" t="str"/>
      <x:c r="G17" s="28" t="str"/>
      <x:c r="H17" s="28" t="str"/>
      <x:c r="I17" s="28" t="str"/>
      <x:c r="J17" s="28" t="str"/>
      <x:c r="K17" s="28" t="str">
        <x:v>PDF scan: điền tên theo danh sách gốc</x:v>
      </x:c>
      <x:c r="L17" s="33" t="n">
        <x:v>1</x:v>
      </x:c>
      <x:c r="M17" s="33" t="str">
        <x:f>IF(E17="","CHỜ NHẬP","ĐÃ CÓ DỮ LIỆU")</x:f>
        <x:v>CHỜ NHẬP</x:v>
      </x:c>
      <x:c r="N17" s="33" t="str">
        <x:f>IF(AND(B17="",E17=""),"",IF(A17="","THIẾU ID",IF(COUNTIF($A$8:$A$193,A17)&gt;1,"TRÙNG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PB-DON-NAM45-C-04</x:v>
      </x:c>
      <x:c r="B18" s="26" t="str">
        <x:v>PB-DON-NAM45</x:v>
      </x:c>
      <x:c r="C18" s="26" t="str">
        <x:v>C</x:v>
      </x:c>
      <x:c r="D18" s="35" t="n">
        <x:v>4</x:v>
      </x:c>
      <x:c r="E18" s="28" t="str"/>
      <x:c r="F18" s="28" t="str"/>
      <x:c r="G18" s="28" t="str"/>
      <x:c r="H18" s="28" t="str"/>
      <x:c r="I18" s="28" t="str"/>
      <x:c r="J18" s="28" t="str"/>
      <x:c r="K18" s="28" t="str">
        <x:v>PDF scan: điền tên theo danh sách gốc</x:v>
      </x:c>
      <x:c r="L18" s="33" t="n">
        <x:v>1</x:v>
      </x:c>
      <x:c r="M18" s="33" t="str">
        <x:f>IF(E18="","CHỜ NHẬP","ĐÃ CÓ DỮ LIỆU")</x:f>
        <x:v>CHỜ NHẬP</x:v>
      </x:c>
      <x:c r="N18" s="33" t="str">
        <x:f>IF(AND(B18="",E18=""),"",IF(A18="","THIẾU ID",IF(COUNTIF($A$8:$A$193,A18)&gt;1,"TRÙNG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PB-DON-NAM45-D-01</x:v>
      </x:c>
      <x:c r="B19" s="26" t="str">
        <x:v>PB-DON-NAM45</x:v>
      </x:c>
      <x:c r="C19" s="26" t="str">
        <x:v>D</x:v>
      </x:c>
      <x:c r="D19" s="35" t="n">
        <x:v>1</x:v>
      </x:c>
      <x:c r="E19" s="28" t="str"/>
      <x:c r="F19" s="28" t="str"/>
      <x:c r="G19" s="28" t="str"/>
      <x:c r="H19" s="28" t="str"/>
      <x:c r="I19" s="28" t="str"/>
      <x:c r="J19" s="28" t="str"/>
      <x:c r="K19" s="28" t="str">
        <x:v>PDF scan: điền tên theo danh sách gốc</x:v>
      </x:c>
      <x:c r="L19" s="33" t="n">
        <x:v>1</x:v>
      </x:c>
      <x:c r="M19" s="33" t="str">
        <x:f>IF(E19="","CHỜ NHẬP","ĐÃ CÓ DỮ LIỆU")</x:f>
        <x:v>CHỜ NHẬP</x:v>
      </x:c>
      <x:c r="N19" s="33" t="str">
        <x:f>IF(AND(B19="",E19=""),"",IF(A19="","THIẾU ID",IF(COUNTIF($A$8:$A$193,A19)&gt;1,"TRÙNG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PB-DON-NAM45-D-02</x:v>
      </x:c>
      <x:c r="B20" s="26" t="str">
        <x:v>PB-DON-NAM45</x:v>
      </x:c>
      <x:c r="C20" s="26" t="str">
        <x:v>D</x:v>
      </x:c>
      <x:c r="D20" s="35" t="n">
        <x:v>2</x:v>
      </x:c>
      <x:c r="E20" s="28" t="str"/>
      <x:c r="F20" s="28" t="str"/>
      <x:c r="G20" s="28" t="str"/>
      <x:c r="H20" s="28" t="str"/>
      <x:c r="I20" s="28" t="str"/>
      <x:c r="J20" s="28" t="str"/>
      <x:c r="K20" s="28" t="str">
        <x:v>PDF scan: điền tên theo danh sách gốc</x:v>
      </x:c>
      <x:c r="L20" s="33" t="n">
        <x:v>1</x:v>
      </x:c>
      <x:c r="M20" s="33" t="str">
        <x:f>IF(E20="","CHỜ NHẬP","ĐÃ CÓ DỮ LIỆU")</x:f>
        <x:v>CHỜ NHẬP</x:v>
      </x:c>
      <x:c r="N20" s="33" t="str">
        <x:f>IF(AND(B20="",E20=""),"",IF(A20="","THIẾU ID",IF(COUNTIF($A$8:$A$193,A20)&gt;1,"TRÙNG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PB-DON-NAM45-D-03</x:v>
      </x:c>
      <x:c r="B21" s="26" t="str">
        <x:v>PB-DON-NAM45</x:v>
      </x:c>
      <x:c r="C21" s="26" t="str">
        <x:v>D</x:v>
      </x:c>
      <x:c r="D21" s="35" t="n">
        <x:v>3</x:v>
      </x:c>
      <x:c r="E21" s="28" t="str"/>
      <x:c r="F21" s="28" t="str"/>
      <x:c r="G21" s="28" t="str"/>
      <x:c r="H21" s="28" t="str"/>
      <x:c r="I21" s="28" t="str"/>
      <x:c r="J21" s="28" t="str"/>
      <x:c r="K21" s="28" t="str">
        <x:v>PDF scan: điền tên theo danh sách gốc</x:v>
      </x:c>
      <x:c r="L21" s="33" t="n">
        <x:v>1</x:v>
      </x:c>
      <x:c r="M21" s="33" t="str">
        <x:f>IF(E21="","CHỜ NHẬP","ĐÃ CÓ DỮ LIỆU")</x:f>
        <x:v>CHỜ NHẬP</x:v>
      </x:c>
      <x:c r="N21" s="33" t="str">
        <x:f>IF(AND(B21="",E21=""),"",IF(A21="","THIẾU ID",IF(COUNTIF($A$8:$A$193,A21)&gt;1,"TRÙNG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PB-DON-NAM45-D-04</x:v>
      </x:c>
      <x:c r="B22" s="26" t="str">
        <x:v>PB-DON-NAM45</x:v>
      </x:c>
      <x:c r="C22" s="26" t="str">
        <x:v>D</x:v>
      </x:c>
      <x:c r="D22" s="35" t="n">
        <x:v>4</x:v>
      </x:c>
      <x:c r="E22" s="28" t="str"/>
      <x:c r="F22" s="28" t="str"/>
      <x:c r="G22" s="28" t="str"/>
      <x:c r="H22" s="28" t="str"/>
      <x:c r="I22" s="28" t="str"/>
      <x:c r="J22" s="28" t="str"/>
      <x:c r="K22" s="28" t="str">
        <x:v>PDF scan: điền tên theo danh sách gốc</x:v>
      </x:c>
      <x:c r="L22" s="33" t="n">
        <x:v>1</x:v>
      </x:c>
      <x:c r="M22" s="33" t="str">
        <x:f>IF(E22="","CHỜ NHẬP","ĐÃ CÓ DỮ LIỆU")</x:f>
        <x:v>CHỜ NHẬP</x:v>
      </x:c>
      <x:c r="N22" s="33" t="str">
        <x:f>IF(AND(B22="",E22=""),"",IF(A22="","THIẾU ID",IF(COUNTIF($A$8:$A$193,A22)&gt;1,"TRÙNG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PB-DON-NAM45-E-01</x:v>
      </x:c>
      <x:c r="B23" s="26" t="str">
        <x:v>PB-DON-NAM45</x:v>
      </x:c>
      <x:c r="C23" s="26" t="str">
        <x:v>E</x:v>
      </x:c>
      <x:c r="D23" s="35" t="n">
        <x:v>1</x:v>
      </x:c>
      <x:c r="E23" s="28" t="str"/>
      <x:c r="F23" s="28" t="str"/>
      <x:c r="G23" s="28" t="str"/>
      <x:c r="H23" s="28" t="str"/>
      <x:c r="I23" s="28" t="str"/>
      <x:c r="J23" s="28" t="str"/>
      <x:c r="K23" s="28" t="str">
        <x:v>PDF scan: điền tên theo danh sách gốc</x:v>
      </x:c>
      <x:c r="L23" s="33" t="n">
        <x:v>1</x:v>
      </x:c>
      <x:c r="M23" s="33" t="str">
        <x:f>IF(E23="","CHỜ NHẬP","ĐÃ CÓ DỮ LIỆU")</x:f>
        <x:v>CHỜ NHẬP</x:v>
      </x:c>
      <x:c r="N23" s="33" t="str">
        <x:f>IF(AND(B23="",E23=""),"",IF(A23="","THIẾU ID",IF(COUNTIF($A$8:$A$193,A23)&gt;1,"TRÙNG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PB-DON-NAM45-E-02</x:v>
      </x:c>
      <x:c r="B24" s="26" t="str">
        <x:v>PB-DON-NAM45</x:v>
      </x:c>
      <x:c r="C24" s="26" t="str">
        <x:v>E</x:v>
      </x:c>
      <x:c r="D24" s="35" t="n">
        <x:v>2</x:v>
      </x:c>
      <x:c r="E24" s="28" t="str"/>
      <x:c r="F24" s="28" t="str"/>
      <x:c r="G24" s="28" t="str"/>
      <x:c r="H24" s="28" t="str"/>
      <x:c r="I24" s="28" t="str"/>
      <x:c r="J24" s="28" t="str"/>
      <x:c r="K24" s="28" t="str">
        <x:v>PDF scan: điền tên theo danh sách gốc</x:v>
      </x:c>
      <x:c r="L24" s="33" t="n">
        <x:v>1</x:v>
      </x:c>
      <x:c r="M24" s="33" t="str">
        <x:f>IF(E24="","CHỜ NHẬP","ĐÃ CÓ DỮ LIỆU")</x:f>
        <x:v>CHỜ NHẬP</x:v>
      </x:c>
      <x:c r="N24" s="33" t="str">
        <x:f>IF(AND(B24="",E24=""),"",IF(A24="","THIẾU ID",IF(COUNTIF($A$8:$A$193,A24)&gt;1,"TRÙNG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PB-DON-NAM45-E-03</x:v>
      </x:c>
      <x:c r="B25" s="26" t="str">
        <x:v>PB-DON-NAM45</x:v>
      </x:c>
      <x:c r="C25" s="26" t="str">
        <x:v>E</x:v>
      </x:c>
      <x:c r="D25" s="35" t="n">
        <x:v>3</x:v>
      </x:c>
      <x:c r="E25" s="28" t="str"/>
      <x:c r="F25" s="28" t="str"/>
      <x:c r="G25" s="28" t="str"/>
      <x:c r="H25" s="28" t="str"/>
      <x:c r="I25" s="28" t="str"/>
      <x:c r="J25" s="28" t="str"/>
      <x:c r="K25" s="28" t="str">
        <x:v>PDF scan: điền tên theo danh sách gốc</x:v>
      </x:c>
      <x:c r="L25" s="33" t="n">
        <x:v>1</x:v>
      </x:c>
      <x:c r="M25" s="33" t="str">
        <x:f>IF(E25="","CHỜ NHẬP","ĐÃ CÓ DỮ LIỆU")</x:f>
        <x:v>CHỜ NHẬP</x:v>
      </x:c>
      <x:c r="N25" s="33" t="str">
        <x:f>IF(AND(B25="",E25=""),"",IF(A25="","THIẾU ID",IF(COUNTIF($A$8:$A$193,A25)&gt;1,"TRÙNG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PB-DON-NAM45-F-01</x:v>
      </x:c>
      <x:c r="B26" s="26" t="str">
        <x:v>PB-DON-NAM45</x:v>
      </x:c>
      <x:c r="C26" s="26" t="str">
        <x:v>F</x:v>
      </x:c>
      <x:c r="D26" s="35" t="n">
        <x:v>1</x:v>
      </x:c>
      <x:c r="E26" s="28" t="str"/>
      <x:c r="F26" s="28" t="str"/>
      <x:c r="G26" s="28" t="str"/>
      <x:c r="H26" s="28" t="str"/>
      <x:c r="I26" s="28" t="str"/>
      <x:c r="J26" s="28" t="str"/>
      <x:c r="K26" s="28" t="str">
        <x:v>PDF scan: điền tên theo danh sách gốc</x:v>
      </x:c>
      <x:c r="L26" s="33" t="n">
        <x:v>1</x:v>
      </x:c>
      <x:c r="M26" s="33" t="str">
        <x:f>IF(E26="","CHỜ NHẬP","ĐÃ CÓ DỮ LIỆU")</x:f>
        <x:v>CHỜ NHẬP</x:v>
      </x:c>
      <x:c r="N26" s="33" t="str">
        <x:f>IF(AND(B26="",E26=""),"",IF(A26="","THIẾU ID",IF(COUNTIF($A$8:$A$193,A26)&gt;1,"TRÙNG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PB-DON-NAM45-F-02</x:v>
      </x:c>
      <x:c r="B27" s="26" t="str">
        <x:v>PB-DON-NAM45</x:v>
      </x:c>
      <x:c r="C27" s="26" t="str">
        <x:v>F</x:v>
      </x:c>
      <x:c r="D27" s="35" t="n">
        <x:v>2</x:v>
      </x:c>
      <x:c r="E27" s="28" t="str"/>
      <x:c r="F27" s="28" t="str"/>
      <x:c r="G27" s="28" t="str"/>
      <x:c r="H27" s="28" t="str"/>
      <x:c r="I27" s="28" t="str"/>
      <x:c r="J27" s="28" t="str"/>
      <x:c r="K27" s="28" t="str">
        <x:v>PDF scan: điền tên theo danh sách gốc</x:v>
      </x:c>
      <x:c r="L27" s="33" t="n">
        <x:v>1</x:v>
      </x:c>
      <x:c r="M27" s="33" t="str">
        <x:f>IF(E27="","CHỜ NHẬP","ĐÃ CÓ DỮ LIỆU")</x:f>
        <x:v>CHỜ NHẬP</x:v>
      </x:c>
      <x:c r="N27" s="33" t="str">
        <x:f>IF(AND(B27="",E27=""),"",IF(A27="","THIẾU ID",IF(COUNTIF($A$8:$A$193,A27)&gt;1,"TRÙNG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PB-DON-NAM45-F-03</x:v>
      </x:c>
      <x:c r="B28" s="26" t="str">
        <x:v>PB-DON-NAM45</x:v>
      </x:c>
      <x:c r="C28" s="26" t="str">
        <x:v>F</x:v>
      </x:c>
      <x:c r="D28" s="35" t="n">
        <x:v>3</x:v>
      </x:c>
      <x:c r="E28" s="28" t="str"/>
      <x:c r="F28" s="28" t="str"/>
      <x:c r="G28" s="28" t="str"/>
      <x:c r="H28" s="28" t="str"/>
      <x:c r="I28" s="28" t="str"/>
      <x:c r="J28" s="28" t="str"/>
      <x:c r="K28" s="28" t="str">
        <x:v>PDF scan: điền tên theo danh sách gốc</x:v>
      </x:c>
      <x:c r="L28" s="33" t="n">
        <x:v>1</x:v>
      </x:c>
      <x:c r="M28" s="33" t="str">
        <x:f>IF(E28="","CHỜ NHẬP","ĐÃ CÓ DỮ LIỆU")</x:f>
        <x:v>CHỜ NHẬP</x:v>
      </x:c>
      <x:c r="N28" s="33" t="str">
        <x:f>IF(AND(B28="",E28=""),"",IF(A28="","THIẾU ID",IF(COUNTIF($A$8:$A$193,A28)&gt;1,"TRÙNG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PB-DON-NAM45-F-04</x:v>
      </x:c>
      <x:c r="B29" s="26" t="str">
        <x:v>PB-DON-NAM45</x:v>
      </x:c>
      <x:c r="C29" s="26" t="str">
        <x:v>F</x:v>
      </x:c>
      <x:c r="D29" s="35" t="n">
        <x:v>4</x:v>
      </x:c>
      <x:c r="E29" s="28" t="str"/>
      <x:c r="F29" s="28" t="str"/>
      <x:c r="G29" s="28" t="str"/>
      <x:c r="H29" s="28" t="str"/>
      <x:c r="I29" s="28" t="str"/>
      <x:c r="J29" s="28" t="str"/>
      <x:c r="K29" s="28" t="str">
        <x:v>PDF scan: điền tên theo danh sách gốc</x:v>
      </x:c>
      <x:c r="L29" s="33" t="n">
        <x:v>1</x:v>
      </x:c>
      <x:c r="M29" s="33" t="str">
        <x:f>IF(E29="","CHỜ NHẬP","ĐÃ CÓ DỮ LIỆU")</x:f>
        <x:v>CHỜ NHẬP</x:v>
      </x:c>
      <x:c r="N29" s="33" t="str">
        <x:f>IF(AND(B29="",E29=""),"",IF(A29="","THIẾU ID",IF(COUNTIF($A$8:$A$193,A29)&gt;1,"TRÙNG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PB-DON-NAM45-G-01</x:v>
      </x:c>
      <x:c r="B30" s="26" t="str">
        <x:v>PB-DON-NAM45</x:v>
      </x:c>
      <x:c r="C30" s="26" t="str">
        <x:v>G</x:v>
      </x:c>
      <x:c r="D30" s="35" t="n">
        <x:v>1</x:v>
      </x:c>
      <x:c r="E30" s="28" t="str"/>
      <x:c r="F30" s="28" t="str"/>
      <x:c r="G30" s="28" t="str"/>
      <x:c r="H30" s="28" t="str"/>
      <x:c r="I30" s="28" t="str"/>
      <x:c r="J30" s="28" t="str"/>
      <x:c r="K30" s="28" t="str">
        <x:v>PDF scan: điền tên theo danh sách gốc</x:v>
      </x:c>
      <x:c r="L30" s="33" t="n">
        <x:v>1</x:v>
      </x:c>
      <x:c r="M30" s="33" t="str">
        <x:f>IF(E30="","CHỜ NHẬP","ĐÃ CÓ DỮ LIỆU")</x:f>
        <x:v>CHỜ NHẬP</x:v>
      </x:c>
      <x:c r="N30" s="33" t="str">
        <x:f>IF(AND(B30="",E30=""),"",IF(A30="","THIẾU ID",IF(COUNTIF($A$8:$A$193,A30)&gt;1,"TRÙNG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PB-DON-NAM45-G-02</x:v>
      </x:c>
      <x:c r="B31" s="26" t="str">
        <x:v>PB-DON-NAM45</x:v>
      </x:c>
      <x:c r="C31" s="26" t="str">
        <x:v>G</x:v>
      </x:c>
      <x:c r="D31" s="35" t="n">
        <x:v>2</x:v>
      </x:c>
      <x:c r="E31" s="28" t="str"/>
      <x:c r="F31" s="28" t="str"/>
      <x:c r="G31" s="28" t="str"/>
      <x:c r="H31" s="28" t="str"/>
      <x:c r="I31" s="28" t="str"/>
      <x:c r="J31" s="28" t="str"/>
      <x:c r="K31" s="28" t="str">
        <x:v>PDF scan: điền tên theo danh sách gốc</x:v>
      </x:c>
      <x:c r="L31" s="33" t="n">
        <x:v>1</x:v>
      </x:c>
      <x:c r="M31" s="33" t="str">
        <x:f>IF(E31="","CHỜ NHẬP","ĐÃ CÓ DỮ LIỆU")</x:f>
        <x:v>CHỜ NHẬP</x:v>
      </x:c>
      <x:c r="N31" s="33" t="str">
        <x:f>IF(AND(B31="",E31=""),"",IF(A31="","THIẾU ID",IF(COUNTIF($A$8:$A$193,A31)&gt;1,"TRÙNG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PB-DON-NAM45-G-03</x:v>
      </x:c>
      <x:c r="B32" s="26" t="str">
        <x:v>PB-DON-NAM45</x:v>
      </x:c>
      <x:c r="C32" s="26" t="str">
        <x:v>G</x:v>
      </x:c>
      <x:c r="D32" s="35" t="n">
        <x:v>3</x:v>
      </x:c>
      <x:c r="E32" s="28" t="str"/>
      <x:c r="F32" s="28" t="str"/>
      <x:c r="G32" s="28" t="str"/>
      <x:c r="H32" s="28" t="str"/>
      <x:c r="I32" s="28" t="str"/>
      <x:c r="J32" s="28" t="str"/>
      <x:c r="K32" s="28" t="str">
        <x:v>PDF scan: điền tên theo danh sách gốc</x:v>
      </x:c>
      <x:c r="L32" s="33" t="n">
        <x:v>1</x:v>
      </x:c>
      <x:c r="M32" s="33" t="str">
        <x:f>IF(E32="","CHỜ NHẬP","ĐÃ CÓ DỮ LIỆU")</x:f>
        <x:v>CHỜ NHẬP</x:v>
      </x:c>
      <x:c r="N32" s="33" t="str">
        <x:f>IF(AND(B32="",E32=""),"",IF(A32="","THIẾU ID",IF(COUNTIF($A$8:$A$193,A32)&gt;1,"TRÙNG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PB-DON-NAM45-H-01</x:v>
      </x:c>
      <x:c r="B33" s="26" t="str">
        <x:v>PB-DON-NAM45</x:v>
      </x:c>
      <x:c r="C33" s="26" t="str">
        <x:v>H</x:v>
      </x:c>
      <x:c r="D33" s="35" t="n">
        <x:v>1</x:v>
      </x:c>
      <x:c r="E33" s="28" t="str"/>
      <x:c r="F33" s="28" t="str"/>
      <x:c r="G33" s="28" t="str"/>
      <x:c r="H33" s="28" t="str"/>
      <x:c r="I33" s="28" t="str"/>
      <x:c r="J33" s="28" t="str"/>
      <x:c r="K33" s="28" t="str">
        <x:v>PDF scan: điền tên theo danh sách gốc</x:v>
      </x:c>
      <x:c r="L33" s="33" t="n">
        <x:v>1</x:v>
      </x:c>
      <x:c r="M33" s="33" t="str">
        <x:f>IF(E33="","CHỜ NHẬP","ĐÃ CÓ DỮ LIỆU")</x:f>
        <x:v>CHỜ NHẬP</x:v>
      </x:c>
      <x:c r="N33" s="33" t="str">
        <x:f>IF(AND(B33="",E33=""),"",IF(A33="","THIẾU ID",IF(COUNTIF($A$8:$A$193,A33)&gt;1,"TRÙNG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PB-DON-NAM45-H-02</x:v>
      </x:c>
      <x:c r="B34" s="26" t="str">
        <x:v>PB-DON-NAM45</x:v>
      </x:c>
      <x:c r="C34" s="26" t="str">
        <x:v>H</x:v>
      </x:c>
      <x:c r="D34" s="35" t="n">
        <x:v>2</x:v>
      </x:c>
      <x:c r="E34" s="28" t="str"/>
      <x:c r="F34" s="28" t="str"/>
      <x:c r="G34" s="28" t="str"/>
      <x:c r="H34" s="28" t="str"/>
      <x:c r="I34" s="28" t="str"/>
      <x:c r="J34" s="28" t="str"/>
      <x:c r="K34" s="28" t="str">
        <x:v>PDF scan: điền tên theo danh sách gốc</x:v>
      </x:c>
      <x:c r="L34" s="33" t="n">
        <x:v>1</x:v>
      </x:c>
      <x:c r="M34" s="33" t="str">
        <x:f>IF(E34="","CHỜ NHẬP","ĐÃ CÓ DỮ LIỆU")</x:f>
        <x:v>CHỜ NHẬP</x:v>
      </x:c>
      <x:c r="N34" s="33" t="str">
        <x:f>IF(AND(B34="",E34=""),"",IF(A34="","THIẾU ID",IF(COUNTIF($A$8:$A$193,A34)&gt;1,"TRÙNG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PB-DON-NAM45-H-03</x:v>
      </x:c>
      <x:c r="B35" s="26" t="str">
        <x:v>PB-DON-NAM45</x:v>
      </x:c>
      <x:c r="C35" s="26" t="str">
        <x:v>H</x:v>
      </x:c>
      <x:c r="D35" s="35" t="n">
        <x:v>3</x:v>
      </x:c>
      <x:c r="E35" s="28" t="str"/>
      <x:c r="F35" s="28" t="str"/>
      <x:c r="G35" s="28" t="str"/>
      <x:c r="H35" s="28" t="str"/>
      <x:c r="I35" s="28" t="str"/>
      <x:c r="J35" s="28" t="str"/>
      <x:c r="K35" s="28" t="str">
        <x:v>PDF scan: điền tên theo danh sách gốc</x:v>
      </x:c>
      <x:c r="L35" s="33" t="n">
        <x:v>1</x:v>
      </x:c>
      <x:c r="M35" s="33" t="str">
        <x:f>IF(E35="","CHỜ NHẬP","ĐÃ CÓ DỮ LIỆU")</x:f>
        <x:v>CHỜ NHẬP</x:v>
      </x:c>
      <x:c r="N35" s="33" t="str">
        <x:f>IF(AND(B35="",E35=""),"",IF(A35="","THIẾU ID",IF(COUNTIF($A$8:$A$193,A35)&gt;1,"TRÙNG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  <x:v>PB-DON-NAM46-A-01</x:v>
      </x:c>
      <x:c r="B36" s="26" t="str">
        <x:v>PB-DON-NAM46</x:v>
      </x:c>
      <x:c r="C36" s="26" t="str">
        <x:v>A</x:v>
      </x:c>
      <x:c r="D36" s="35" t="n">
        <x:v>1</x:v>
      </x:c>
      <x:c r="E36" s="28" t="str"/>
      <x:c r="F36" s="28" t="str"/>
      <x:c r="G36" s="28" t="str"/>
      <x:c r="H36" s="28" t="str"/>
      <x:c r="I36" s="28" t="str"/>
      <x:c r="J36" s="28" t="str"/>
      <x:c r="K36" s="28" t="str">
        <x:v>PDF scan: điền tên theo danh sách gốc</x:v>
      </x:c>
      <x:c r="L36" s="33" t="n">
        <x:v>6</x:v>
      </x:c>
      <x:c r="M36" s="33" t="str">
        <x:f>IF(E36="","CHỜ NHẬP","ĐÃ CÓ DỮ LIỆU")</x:f>
        <x:v>CHỜ NHẬP</x:v>
      </x:c>
      <x:c r="N36" s="33" t="str">
        <x:f>IF(AND(B36="",E36=""),"",IF(A36="","THIẾU ID",IF(COUNTIF($A$8:$A$193,A36)&gt;1,"TRÙNG ID",IF(COUNTIF(HANG_MUC!$A$6:$A$50,B36)=0,"SAI HẠNG MỤC","OK"))))</x:f>
        <x:v>OK</x:v>
      </x:c>
    </x:row>
    <x:row r="37">
      <x:c r="A37" s="33" t="str">
        <x:f>IF(OR(B37="",D37=""),"",B37&amp;"-"&amp;IF(OR(C37="",C37="-"),"X",UPPER(C37))&amp;"-"&amp;TEXT(D37,"00"))</x:f>
        <x:v>PB-DON-NAM46-A-02</x:v>
      </x:c>
      <x:c r="B37" s="26" t="str">
        <x:v>PB-DON-NAM46</x:v>
      </x:c>
      <x:c r="C37" s="26" t="str">
        <x:v>A</x:v>
      </x:c>
      <x:c r="D37" s="35" t="n">
        <x:v>2</x:v>
      </x:c>
      <x:c r="E37" s="28" t="str"/>
      <x:c r="F37" s="28" t="str"/>
      <x:c r="G37" s="28" t="str"/>
      <x:c r="H37" s="28" t="str"/>
      <x:c r="I37" s="28" t="str"/>
      <x:c r="J37" s="28" t="str"/>
      <x:c r="K37" s="28" t="str">
        <x:v>PDF scan: điền tên theo danh sách gốc</x:v>
      </x:c>
      <x:c r="L37" s="33" t="n">
        <x:v>6</x:v>
      </x:c>
      <x:c r="M37" s="33" t="str">
        <x:f>IF(E37="","CHỜ NHẬP","ĐÃ CÓ DỮ LIỆU")</x:f>
        <x:v>CHỜ NHẬP</x:v>
      </x:c>
      <x:c r="N37" s="33" t="str">
        <x:f>IF(AND(B37="",E37=""),"",IF(A37="","THIẾU ID",IF(COUNTIF($A$8:$A$193,A37)&gt;1,"TRÙNG ID",IF(COUNTIF(HANG_MUC!$A$6:$A$50,B37)=0,"SAI HẠNG MỤC","OK"))))</x:f>
        <x:v>OK</x:v>
      </x:c>
    </x:row>
    <x:row r="38">
      <x:c r="A38" s="33" t="str">
        <x:f>IF(OR(B38="",D38=""),"",B38&amp;"-"&amp;IF(OR(C38="",C38="-"),"X",UPPER(C38))&amp;"-"&amp;TEXT(D38,"00"))</x:f>
        <x:v>PB-DON-NAM46-A-03</x:v>
      </x:c>
      <x:c r="B38" s="26" t="str">
        <x:v>PB-DON-NAM46</x:v>
      </x:c>
      <x:c r="C38" s="26" t="str">
        <x:v>A</x:v>
      </x:c>
      <x:c r="D38" s="35" t="n">
        <x:v>3</x:v>
      </x:c>
      <x:c r="E38" s="28" t="str"/>
      <x:c r="F38" s="28" t="str"/>
      <x:c r="G38" s="28" t="str"/>
      <x:c r="H38" s="28" t="str"/>
      <x:c r="I38" s="28" t="str"/>
      <x:c r="J38" s="28" t="str"/>
      <x:c r="K38" s="28" t="str">
        <x:v>PDF scan: điền tên theo danh sách gốc</x:v>
      </x:c>
      <x:c r="L38" s="33" t="n">
        <x:v>6</x:v>
      </x:c>
      <x:c r="M38" s="33" t="str">
        <x:f>IF(E38="","CHỜ NHẬP","ĐÃ CÓ DỮ LIỆU")</x:f>
        <x:v>CHỜ NHẬP</x:v>
      </x:c>
      <x:c r="N38" s="33" t="str">
        <x:f>IF(AND(B38="",E38=""),"",IF(A38="","THIẾU ID",IF(COUNTIF($A$8:$A$193,A38)&gt;1,"TRÙNG ID",IF(COUNTIF(HANG_MUC!$A$6:$A$50,B38)=0,"SAI HẠNG MỤC","OK"))))</x:f>
        <x:v>OK</x:v>
      </x:c>
    </x:row>
    <x:row r="39">
      <x:c r="A39" s="33" t="str">
        <x:f>IF(OR(B39="",D39=""),"",B39&amp;"-"&amp;IF(OR(C39="",C39="-"),"X",UPPER(C39))&amp;"-"&amp;TEXT(D39,"00"))</x:f>
        <x:v>PB-DON-NAM46-B-01</x:v>
      </x:c>
      <x:c r="B39" s="26" t="str">
        <x:v>PB-DON-NAM46</x:v>
      </x:c>
      <x:c r="C39" s="26" t="str">
        <x:v>B</x:v>
      </x:c>
      <x:c r="D39" s="35" t="n">
        <x:v>1</x:v>
      </x:c>
      <x:c r="E39" s="28" t="str"/>
      <x:c r="F39" s="28" t="str"/>
      <x:c r="G39" s="28" t="str"/>
      <x:c r="H39" s="28" t="str"/>
      <x:c r="I39" s="28" t="str"/>
      <x:c r="J39" s="28" t="str"/>
      <x:c r="K39" s="28" t="str">
        <x:v>PDF scan: điền tên theo danh sách gốc</x:v>
      </x:c>
      <x:c r="L39" s="33" t="n">
        <x:v>6</x:v>
      </x:c>
      <x:c r="M39" s="33" t="str">
        <x:f>IF(E39="","CHỜ NHẬP","ĐÃ CÓ DỮ LIỆU")</x:f>
        <x:v>CHỜ NHẬP</x:v>
      </x:c>
      <x:c r="N39" s="33" t="str">
        <x:f>IF(AND(B39="",E39=""),"",IF(A39="","THIẾU ID",IF(COUNTIF($A$8:$A$193,A39)&gt;1,"TRÙNG ID",IF(COUNTIF(HANG_MUC!$A$6:$A$50,B39)=0,"SAI HẠNG MỤC","OK"))))</x:f>
        <x:v>OK</x:v>
      </x:c>
    </x:row>
    <x:row r="40">
      <x:c r="A40" s="33" t="str">
        <x:f>IF(OR(B40="",D40=""),"",B40&amp;"-"&amp;IF(OR(C40="",C40="-"),"X",UPPER(C40))&amp;"-"&amp;TEXT(D40,"00"))</x:f>
        <x:v>PB-DON-NAM46-B-02</x:v>
      </x:c>
      <x:c r="B40" s="26" t="str">
        <x:v>PB-DON-NAM46</x:v>
      </x:c>
      <x:c r="C40" s="26" t="str">
        <x:v>B</x:v>
      </x:c>
      <x:c r="D40" s="35" t="n">
        <x:v>2</x:v>
      </x:c>
      <x:c r="E40" s="28" t="str"/>
      <x:c r="F40" s="28" t="str"/>
      <x:c r="G40" s="28" t="str"/>
      <x:c r="H40" s="28" t="str"/>
      <x:c r="I40" s="28" t="str"/>
      <x:c r="J40" s="28" t="str"/>
      <x:c r="K40" s="28" t="str">
        <x:v>PDF scan: điền tên theo danh sách gốc</x:v>
      </x:c>
      <x:c r="L40" s="33" t="n">
        <x:v>6</x:v>
      </x:c>
      <x:c r="M40" s="33" t="str">
        <x:f>IF(E40="","CHỜ NHẬP","ĐÃ CÓ DỮ LIỆU")</x:f>
        <x:v>CHỜ NHẬP</x:v>
      </x:c>
      <x:c r="N40" s="33" t="str">
        <x:f>IF(AND(B40="",E40=""),"",IF(A40="","THIẾU ID",IF(COUNTIF($A$8:$A$193,A40)&gt;1,"TRÙNG ID",IF(COUNTIF(HANG_MUC!$A$6:$A$50,B40)=0,"SAI HẠNG MỤC","OK"))))</x:f>
        <x:v>OK</x:v>
      </x:c>
    </x:row>
    <x:row r="41">
      <x:c r="A41" s="33" t="str">
        <x:f>IF(OR(B41="",D41=""),"",B41&amp;"-"&amp;IF(OR(C41="",C41="-"),"X",UPPER(C41))&amp;"-"&amp;TEXT(D41,"00"))</x:f>
        <x:v>PB-DON-NAM46-B-03</x:v>
      </x:c>
      <x:c r="B41" s="26" t="str">
        <x:v>PB-DON-NAM46</x:v>
      </x:c>
      <x:c r="C41" s="26" t="str">
        <x:v>B</x:v>
      </x:c>
      <x:c r="D41" s="35" t="n">
        <x:v>3</x:v>
      </x:c>
      <x:c r="E41" s="28" t="str"/>
      <x:c r="F41" s="28" t="str"/>
      <x:c r="G41" s="28" t="str"/>
      <x:c r="H41" s="28" t="str"/>
      <x:c r="I41" s="28" t="str"/>
      <x:c r="J41" s="28" t="str"/>
      <x:c r="K41" s="28" t="str">
        <x:v>PDF scan: điền tên theo danh sách gốc</x:v>
      </x:c>
      <x:c r="L41" s="33" t="n">
        <x:v>6</x:v>
      </x:c>
      <x:c r="M41" s="33" t="str">
        <x:f>IF(E41="","CHỜ NHẬP","ĐÃ CÓ DỮ LIỆU")</x:f>
        <x:v>CHỜ NHẬP</x:v>
      </x:c>
      <x:c r="N41" s="33" t="str">
        <x:f>IF(AND(B41="",E41=""),"",IF(A41="","THIẾU ID",IF(COUNTIF($A$8:$A$193,A41)&gt;1,"TRÙNG ID",IF(COUNTIF(HANG_MUC!$A$6:$A$50,B41)=0,"SAI HẠNG MỤC","OK"))))</x:f>
        <x:v>OK</x:v>
      </x:c>
    </x:row>
    <x:row r="42">
      <x:c r="A42" s="33" t="str">
        <x:f>IF(OR(B42="",D42=""),"",B42&amp;"-"&amp;IF(OR(C42="",C42="-"),"X",UPPER(C42))&amp;"-"&amp;TEXT(D42,"00"))</x:f>
        <x:v>PB-DON-NAM46-C-01</x:v>
      </x:c>
      <x:c r="B42" s="26" t="str">
        <x:v>PB-DON-NAM46</x:v>
      </x:c>
      <x:c r="C42" s="26" t="str">
        <x:v>C</x:v>
      </x:c>
      <x:c r="D42" s="35" t="n">
        <x:v>1</x:v>
      </x:c>
      <x:c r="E42" s="28" t="str"/>
      <x:c r="F42" s="28" t="str"/>
      <x:c r="G42" s="28" t="str"/>
      <x:c r="H42" s="28" t="str"/>
      <x:c r="I42" s="28" t="str"/>
      <x:c r="J42" s="28" t="str"/>
      <x:c r="K42" s="28" t="str">
        <x:v>PDF scan: điền tên theo danh sách gốc</x:v>
      </x:c>
      <x:c r="L42" s="33" t="n">
        <x:v>6</x:v>
      </x:c>
      <x:c r="M42" s="33" t="str">
        <x:f>IF(E42="","CHỜ NHẬP","ĐÃ CÓ DỮ LIỆU")</x:f>
        <x:v>CHỜ NHẬP</x:v>
      </x:c>
      <x:c r="N42" s="33" t="str">
        <x:f>IF(AND(B42="",E42=""),"",IF(A42="","THIẾU ID",IF(COUNTIF($A$8:$A$193,A42)&gt;1,"TRÙNG ID",IF(COUNTIF(HANG_MUC!$A$6:$A$50,B42)=0,"SAI HẠNG MỤC","OK"))))</x:f>
        <x:v>OK</x:v>
      </x:c>
    </x:row>
    <x:row r="43">
      <x:c r="A43" s="33" t="str">
        <x:f>IF(OR(B43="",D43=""),"",B43&amp;"-"&amp;IF(OR(C43="",C43="-"),"X",UPPER(C43))&amp;"-"&amp;TEXT(D43,"00"))</x:f>
        <x:v>PB-DON-NAM46-C-02</x:v>
      </x:c>
      <x:c r="B43" s="26" t="str">
        <x:v>PB-DON-NAM46</x:v>
      </x:c>
      <x:c r="C43" s="26" t="str">
        <x:v>C</x:v>
      </x:c>
      <x:c r="D43" s="35" t="n">
        <x:v>2</x:v>
      </x:c>
      <x:c r="E43" s="28" t="str"/>
      <x:c r="F43" s="28" t="str"/>
      <x:c r="G43" s="28" t="str"/>
      <x:c r="H43" s="28" t="str"/>
      <x:c r="I43" s="28" t="str"/>
      <x:c r="J43" s="28" t="str"/>
      <x:c r="K43" s="28" t="str">
        <x:v>PDF scan: điền tên theo danh sách gốc</x:v>
      </x:c>
      <x:c r="L43" s="33" t="n">
        <x:v>6</x:v>
      </x:c>
      <x:c r="M43" s="33" t="str">
        <x:f>IF(E43="","CHỜ NHẬP","ĐÃ CÓ DỮ LIỆU")</x:f>
        <x:v>CHỜ NHẬP</x:v>
      </x:c>
      <x:c r="N43" s="33" t="str">
        <x:f>IF(AND(B43="",E43=""),"",IF(A43="","THIẾU ID",IF(COUNTIF($A$8:$A$193,A43)&gt;1,"TRÙNG ID",IF(COUNTIF(HANG_MUC!$A$6:$A$50,B43)=0,"SAI HẠNG MỤC","OK"))))</x:f>
        <x:v>OK</x:v>
      </x:c>
    </x:row>
    <x:row r="44">
      <x:c r="A44" s="33" t="str">
        <x:f>IF(OR(B44="",D44=""),"",B44&amp;"-"&amp;IF(OR(C44="",C44="-"),"X",UPPER(C44))&amp;"-"&amp;TEXT(D44,"00"))</x:f>
        <x:v>PB-DON-NAM46-C-03</x:v>
      </x:c>
      <x:c r="B44" s="26" t="str">
        <x:v>PB-DON-NAM46</x:v>
      </x:c>
      <x:c r="C44" s="26" t="str">
        <x:v>C</x:v>
      </x:c>
      <x:c r="D44" s="35" t="n">
        <x:v>3</x:v>
      </x:c>
      <x:c r="E44" s="28" t="str"/>
      <x:c r="F44" s="28" t="str"/>
      <x:c r="G44" s="28" t="str"/>
      <x:c r="H44" s="28" t="str"/>
      <x:c r="I44" s="28" t="str"/>
      <x:c r="J44" s="28" t="str"/>
      <x:c r="K44" s="28" t="str">
        <x:v>PDF scan: điền tên theo danh sách gốc</x:v>
      </x:c>
      <x:c r="L44" s="33" t="n">
        <x:v>6</x:v>
      </x:c>
      <x:c r="M44" s="33" t="str">
        <x:f>IF(E44="","CHỜ NHẬP","ĐÃ CÓ DỮ LIỆU")</x:f>
        <x:v>CHỜ NHẬP</x:v>
      </x:c>
      <x:c r="N44" s="33" t="str">
        <x:f>IF(AND(B44="",E44=""),"",IF(A44="","THIẾU ID",IF(COUNTIF($A$8:$A$193,A44)&gt;1,"TRÙNG ID",IF(COUNTIF(HANG_MUC!$A$6:$A$50,B44)=0,"SAI HẠNG MỤC","OK"))))</x:f>
        <x:v>OK</x:v>
      </x:c>
    </x:row>
    <x:row r="45">
      <x:c r="A45" s="33" t="str">
        <x:f>IF(OR(B45="",D45=""),"",B45&amp;"-"&amp;IF(OR(C45="",C45="-"),"X",UPPER(C45))&amp;"-"&amp;TEXT(D45,"00"))</x:f>
        <x:v>PB-DON-NAM46-D-01</x:v>
      </x:c>
      <x:c r="B45" s="26" t="str">
        <x:v>PB-DON-NAM46</x:v>
      </x:c>
      <x:c r="C45" s="26" t="str">
        <x:v>D</x:v>
      </x:c>
      <x:c r="D45" s="35" t="n">
        <x:v>1</x:v>
      </x:c>
      <x:c r="E45" s="28" t="str"/>
      <x:c r="F45" s="28" t="str"/>
      <x:c r="G45" s="28" t="str"/>
      <x:c r="H45" s="28" t="str"/>
      <x:c r="I45" s="28" t="str"/>
      <x:c r="J45" s="28" t="str"/>
      <x:c r="K45" s="28" t="str">
        <x:v>PDF scan: điền tên theo danh sách gốc</x:v>
      </x:c>
      <x:c r="L45" s="33" t="n">
        <x:v>6</x:v>
      </x:c>
      <x:c r="M45" s="33" t="str">
        <x:f>IF(E45="","CHỜ NHẬP","ĐÃ CÓ DỮ LIỆU")</x:f>
        <x:v>CHỜ NHẬP</x:v>
      </x:c>
      <x:c r="N45" s="33" t="str">
        <x:f>IF(AND(B45="",E45=""),"",IF(A45="","THIẾU ID",IF(COUNTIF($A$8:$A$193,A45)&gt;1,"TRÙNG ID",IF(COUNTIF(HANG_MUC!$A$6:$A$50,B45)=0,"SAI HẠNG MỤC","OK"))))</x:f>
        <x:v>OK</x:v>
      </x:c>
    </x:row>
    <x:row r="46">
      <x:c r="A46" s="33" t="str">
        <x:f>IF(OR(B46="",D46=""),"",B46&amp;"-"&amp;IF(OR(C46="",C46="-"),"X",UPPER(C46))&amp;"-"&amp;TEXT(D46,"00"))</x:f>
        <x:v>PB-DON-NAM46-D-02</x:v>
      </x:c>
      <x:c r="B46" s="26" t="str">
        <x:v>PB-DON-NAM46</x:v>
      </x:c>
      <x:c r="C46" s="26" t="str">
        <x:v>D</x:v>
      </x:c>
      <x:c r="D46" s="35" t="n">
        <x:v>2</x:v>
      </x:c>
      <x:c r="E46" s="28" t="str"/>
      <x:c r="F46" s="28" t="str"/>
      <x:c r="G46" s="28" t="str"/>
      <x:c r="H46" s="28" t="str"/>
      <x:c r="I46" s="28" t="str"/>
      <x:c r="J46" s="28" t="str"/>
      <x:c r="K46" s="28" t="str">
        <x:v>PDF scan: điền tên theo danh sách gốc</x:v>
      </x:c>
      <x:c r="L46" s="33" t="n">
        <x:v>6</x:v>
      </x:c>
      <x:c r="M46" s="33" t="str">
        <x:f>IF(E46="","CHỜ NHẬP","ĐÃ CÓ DỮ LIỆU")</x:f>
        <x:v>CHỜ NHẬP</x:v>
      </x:c>
      <x:c r="N46" s="33" t="str">
        <x:f>IF(AND(B46="",E46=""),"",IF(A46="","THIẾU ID",IF(COUNTIF($A$8:$A$193,A46)&gt;1,"TRÙNG ID",IF(COUNTIF(HANG_MUC!$A$6:$A$50,B46)=0,"SAI HẠNG MỤC","OK"))))</x:f>
        <x:v>OK</x:v>
      </x:c>
    </x:row>
    <x:row r="47">
      <x:c r="A47" s="33" t="str">
        <x:f>IF(OR(B47="",D47=""),"",B47&amp;"-"&amp;IF(OR(C47="",C47="-"),"X",UPPER(C47))&amp;"-"&amp;TEXT(D47,"00"))</x:f>
        <x:v>PB-DON-NAM46-D-03</x:v>
      </x:c>
      <x:c r="B47" s="26" t="str">
        <x:v>PB-DON-NAM46</x:v>
      </x:c>
      <x:c r="C47" s="26" t="str">
        <x:v>D</x:v>
      </x:c>
      <x:c r="D47" s="35" t="n">
        <x:v>3</x:v>
      </x:c>
      <x:c r="E47" s="28" t="str"/>
      <x:c r="F47" s="28" t="str"/>
      <x:c r="G47" s="28" t="str"/>
      <x:c r="H47" s="28" t="str"/>
      <x:c r="I47" s="28" t="str"/>
      <x:c r="J47" s="28" t="str"/>
      <x:c r="K47" s="28" t="str">
        <x:v>PDF scan: điền tên theo danh sách gốc</x:v>
      </x:c>
      <x:c r="L47" s="33" t="n">
        <x:v>6</x:v>
      </x:c>
      <x:c r="M47" s="33" t="str">
        <x:f>IF(E47="","CHỜ NHẬP","ĐÃ CÓ DỮ LIỆU")</x:f>
        <x:v>CHỜ NHẬP</x:v>
      </x:c>
      <x:c r="N47" s="33" t="str">
        <x:f>IF(AND(B47="",E47=""),"",IF(A47="","THIẾU ID",IF(COUNTIF($A$8:$A$193,A47)&gt;1,"TRÙNG ID",IF(COUNTIF(HANG_MUC!$A$6:$A$50,B47)=0,"SAI HẠNG MỤC","OK"))))</x:f>
        <x:v>OK</x:v>
      </x:c>
    </x:row>
    <x:row r="48">
      <x:c r="A48" s="33" t="str">
        <x:f>IF(OR(B48="",D48=""),"",B48&amp;"-"&amp;IF(OR(C48="",C48="-"),"X",UPPER(C48))&amp;"-"&amp;TEXT(D48,"00"))</x:f>
        <x:v>PB-DON-NU45-A-01</x:v>
      </x:c>
      <x:c r="B48" s="26" t="str">
        <x:v>PB-DON-NU45</x:v>
      </x:c>
      <x:c r="C48" s="26" t="str">
        <x:v>A</x:v>
      </x:c>
      <x:c r="D48" s="35" t="n">
        <x:v>1</x:v>
      </x:c>
      <x:c r="E48" s="28" t="str"/>
      <x:c r="F48" s="28" t="str"/>
      <x:c r="G48" s="28" t="str"/>
      <x:c r="H48" s="28" t="str"/>
      <x:c r="I48" s="28" t="str"/>
      <x:c r="J48" s="28" t="str"/>
      <x:c r="K48" s="28" t="str">
        <x:v>PDF scan: điền tên theo danh sách gốc</x:v>
      </x:c>
      <x:c r="L48" s="33" t="n">
        <x:v>9</x:v>
      </x:c>
      <x:c r="M48" s="33" t="str">
        <x:f>IF(E48="","CHỜ NHẬP","ĐÃ CÓ DỮ LIỆU")</x:f>
        <x:v>CHỜ NHẬP</x:v>
      </x:c>
      <x:c r="N48" s="33" t="str">
        <x:f>IF(AND(B48="",E48=""),"",IF(A48="","THIẾU ID",IF(COUNTIF($A$8:$A$193,A48)&gt;1,"TRÙNG ID",IF(COUNTIF(HANG_MUC!$A$6:$A$50,B48)=0,"SAI HẠNG MỤC","OK"))))</x:f>
        <x:v>OK</x:v>
      </x:c>
    </x:row>
    <x:row r="49">
      <x:c r="A49" s="33" t="str">
        <x:f>IF(OR(B49="",D49=""),"",B49&amp;"-"&amp;IF(OR(C49="",C49="-"),"X",UPPER(C49))&amp;"-"&amp;TEXT(D49,"00"))</x:f>
        <x:v>PB-DON-NU45-A-02</x:v>
      </x:c>
      <x:c r="B49" s="26" t="str">
        <x:v>PB-DON-NU45</x:v>
      </x:c>
      <x:c r="C49" s="26" t="str">
        <x:v>A</x:v>
      </x:c>
      <x:c r="D49" s="35" t="n">
        <x:v>2</x:v>
      </x:c>
      <x:c r="E49" s="28" t="str"/>
      <x:c r="F49" s="28" t="str"/>
      <x:c r="G49" s="28" t="str"/>
      <x:c r="H49" s="28" t="str"/>
      <x:c r="I49" s="28" t="str"/>
      <x:c r="J49" s="28" t="str"/>
      <x:c r="K49" s="28" t="str">
        <x:v>PDF scan: điền tên theo danh sách gốc</x:v>
      </x:c>
      <x:c r="L49" s="33" t="n">
        <x:v>9</x:v>
      </x:c>
      <x:c r="M49" s="33" t="str">
        <x:f>IF(E49="","CHỜ NHẬP","ĐÃ CÓ DỮ LIỆU")</x:f>
        <x:v>CHỜ NHẬP</x:v>
      </x:c>
      <x:c r="N49" s="33" t="str">
        <x:f>IF(AND(B49="",E49=""),"",IF(A49="","THIẾU ID",IF(COUNTIF($A$8:$A$193,A49)&gt;1,"TRÙNG ID",IF(COUNTIF(HANG_MUC!$A$6:$A$50,B49)=0,"SAI HẠNG MỤC","OK"))))</x:f>
        <x:v>OK</x:v>
      </x:c>
    </x:row>
    <x:row r="50">
      <x:c r="A50" s="33" t="str">
        <x:f>IF(OR(B50="",D50=""),"",B50&amp;"-"&amp;IF(OR(C50="",C50="-"),"X",UPPER(C50))&amp;"-"&amp;TEXT(D50,"00"))</x:f>
        <x:v>PB-DON-NU45-A-03</x:v>
      </x:c>
      <x:c r="B50" s="26" t="str">
        <x:v>PB-DON-NU45</x:v>
      </x:c>
      <x:c r="C50" s="26" t="str">
        <x:v>A</x:v>
      </x:c>
      <x:c r="D50" s="35" t="n">
        <x:v>3</x:v>
      </x:c>
      <x:c r="E50" s="28" t="str"/>
      <x:c r="F50" s="28" t="str"/>
      <x:c r="G50" s="28" t="str"/>
      <x:c r="H50" s="28" t="str"/>
      <x:c r="I50" s="28" t="str"/>
      <x:c r="J50" s="28" t="str"/>
      <x:c r="K50" s="28" t="str">
        <x:v>PDF scan: điền tên theo danh sách gốc</x:v>
      </x:c>
      <x:c r="L50" s="33" t="n">
        <x:v>9</x:v>
      </x:c>
      <x:c r="M50" s="33" t="str">
        <x:f>IF(E50="","CHỜ NHẬP","ĐÃ CÓ DỮ LIỆU")</x:f>
        <x:v>CHỜ NHẬP</x:v>
      </x:c>
      <x:c r="N50" s="33" t="str">
        <x:f>IF(AND(B50="",E50=""),"",IF(A50="","THIẾU ID",IF(COUNTIF($A$8:$A$193,A50)&gt;1,"TRÙNG ID",IF(COUNTIF(HANG_MUC!$A$6:$A$50,B50)=0,"SAI HẠNG MỤC","OK"))))</x:f>
        <x:v>OK</x:v>
      </x:c>
    </x:row>
    <x:row r="51">
      <x:c r="A51" s="33" t="str">
        <x:f>IF(OR(B51="",D51=""),"",B51&amp;"-"&amp;IF(OR(C51="",C51="-"),"X",UPPER(C51))&amp;"-"&amp;TEXT(D51,"00"))</x:f>
        <x:v>PB-DON-NU45-B-01</x:v>
      </x:c>
      <x:c r="B51" s="26" t="str">
        <x:v>PB-DON-NU45</x:v>
      </x:c>
      <x:c r="C51" s="26" t="str">
        <x:v>B</x:v>
      </x:c>
      <x:c r="D51" s="35" t="n">
        <x:v>1</x:v>
      </x:c>
      <x:c r="E51" s="28" t="str"/>
      <x:c r="F51" s="28" t="str"/>
      <x:c r="G51" s="28" t="str"/>
      <x:c r="H51" s="28" t="str"/>
      <x:c r="I51" s="28" t="str"/>
      <x:c r="J51" s="28" t="str"/>
      <x:c r="K51" s="28" t="str">
        <x:v>PDF scan: điền tên theo danh sách gốc</x:v>
      </x:c>
      <x:c r="L51" s="33" t="n">
        <x:v>9</x:v>
      </x:c>
      <x:c r="M51" s="33" t="str">
        <x:f>IF(E51="","CHỜ NHẬP","ĐÃ CÓ DỮ LIỆU")</x:f>
        <x:v>CHỜ NHẬP</x:v>
      </x:c>
      <x:c r="N51" s="33" t="str">
        <x:f>IF(AND(B51="",E51=""),"",IF(A51="","THIẾU ID",IF(COUNTIF($A$8:$A$193,A51)&gt;1,"TRÙNG ID",IF(COUNTIF(HANG_MUC!$A$6:$A$50,B51)=0,"SAI HẠNG MỤC","OK"))))</x:f>
        <x:v>OK</x:v>
      </x:c>
    </x:row>
    <x:row r="52">
      <x:c r="A52" s="33" t="str">
        <x:f>IF(OR(B52="",D52=""),"",B52&amp;"-"&amp;IF(OR(C52="",C52="-"),"X",UPPER(C52))&amp;"-"&amp;TEXT(D52,"00"))</x:f>
        <x:v>PB-DON-NU45-B-02</x:v>
      </x:c>
      <x:c r="B52" s="26" t="str">
        <x:v>PB-DON-NU45</x:v>
      </x:c>
      <x:c r="C52" s="26" t="str">
        <x:v>B</x:v>
      </x:c>
      <x:c r="D52" s="35" t="n">
        <x:v>2</x:v>
      </x:c>
      <x:c r="E52" s="28" t="str"/>
      <x:c r="F52" s="28" t="str"/>
      <x:c r="G52" s="28" t="str"/>
      <x:c r="H52" s="28" t="str"/>
      <x:c r="I52" s="28" t="str"/>
      <x:c r="J52" s="28" t="str"/>
      <x:c r="K52" s="28" t="str">
        <x:v>PDF scan: điền tên theo danh sách gốc</x:v>
      </x:c>
      <x:c r="L52" s="33" t="n">
        <x:v>9</x:v>
      </x:c>
      <x:c r="M52" s="33" t="str">
        <x:f>IF(E52="","CHỜ NHẬP","ĐÃ CÓ DỮ LIỆU")</x:f>
        <x:v>CHỜ NHẬP</x:v>
      </x:c>
      <x:c r="N52" s="33" t="str">
        <x:f>IF(AND(B52="",E52=""),"",IF(A52="","THIẾU ID",IF(COUNTIF($A$8:$A$193,A52)&gt;1,"TRÙNG ID",IF(COUNTIF(HANG_MUC!$A$6:$A$50,B52)=0,"SAI HẠNG MỤC","OK"))))</x:f>
        <x:v>OK</x:v>
      </x:c>
    </x:row>
    <x:row r="53">
      <x:c r="A53" s="33" t="str">
        <x:f>IF(OR(B53="",D53=""),"",B53&amp;"-"&amp;IF(OR(C53="",C53="-"),"X",UPPER(C53))&amp;"-"&amp;TEXT(D53,"00"))</x:f>
        <x:v>PB-DON-NU45-B-03</x:v>
      </x:c>
      <x:c r="B53" s="26" t="str">
        <x:v>PB-DON-NU45</x:v>
      </x:c>
      <x:c r="C53" s="26" t="str">
        <x:v>B</x:v>
      </x:c>
      <x:c r="D53" s="35" t="n">
        <x:v>3</x:v>
      </x:c>
      <x:c r="E53" s="28" t="str"/>
      <x:c r="F53" s="28" t="str"/>
      <x:c r="G53" s="28" t="str"/>
      <x:c r="H53" s="28" t="str"/>
      <x:c r="I53" s="28" t="str"/>
      <x:c r="J53" s="28" t="str"/>
      <x:c r="K53" s="28" t="str">
        <x:v>PDF scan: điền tên theo danh sách gốc</x:v>
      </x:c>
      <x:c r="L53" s="33" t="n">
        <x:v>9</x:v>
      </x:c>
      <x:c r="M53" s="33" t="str">
        <x:f>IF(E53="","CHỜ NHẬP","ĐÃ CÓ DỮ LIỆU")</x:f>
        <x:v>CHỜ NHẬP</x:v>
      </x:c>
      <x:c r="N53" s="33" t="str">
        <x:f>IF(AND(B53="",E53=""),"",IF(A53="","THIẾU ID",IF(COUNTIF($A$8:$A$193,A53)&gt;1,"TRÙNG ID",IF(COUNTIF(HANG_MUC!$A$6:$A$50,B53)=0,"SAI HẠNG MỤC","OK"))))</x:f>
        <x:v>OK</x:v>
      </x:c>
    </x:row>
    <x:row r="54">
      <x:c r="A54" s="33" t="str">
        <x:f>IF(OR(B54="",D54=""),"",B54&amp;"-"&amp;IF(OR(C54="",C54="-"),"X",UPPER(C54))&amp;"-"&amp;TEXT(D54,"00"))</x:f>
        <x:v>PB-DON-NU45-C-01</x:v>
      </x:c>
      <x:c r="B54" s="26" t="str">
        <x:v>PB-DON-NU45</x:v>
      </x:c>
      <x:c r="C54" s="26" t="str">
        <x:v>C</x:v>
      </x:c>
      <x:c r="D54" s="35" t="n">
        <x:v>1</x:v>
      </x:c>
      <x:c r="E54" s="28" t="str"/>
      <x:c r="F54" s="28" t="str"/>
      <x:c r="G54" s="28" t="str"/>
      <x:c r="H54" s="28" t="str"/>
      <x:c r="I54" s="28" t="str"/>
      <x:c r="J54" s="28" t="str"/>
      <x:c r="K54" s="28" t="str">
        <x:v>PDF scan: điền tên theo danh sách gốc</x:v>
      </x:c>
      <x:c r="L54" s="33" t="n">
        <x:v>9</x:v>
      </x:c>
      <x:c r="M54" s="33" t="str">
        <x:f>IF(E54="","CHỜ NHẬP","ĐÃ CÓ DỮ LIỆU")</x:f>
        <x:v>CHỜ NHẬP</x:v>
      </x:c>
      <x:c r="N54" s="33" t="str">
        <x:f>IF(AND(B54="",E54=""),"",IF(A54="","THIẾU ID",IF(COUNTIF($A$8:$A$193,A54)&gt;1,"TRÙNG ID",IF(COUNTIF(HANG_MUC!$A$6:$A$50,B54)=0,"SAI HẠNG MỤC","OK"))))</x:f>
        <x:v>OK</x:v>
      </x:c>
    </x:row>
    <x:row r="55">
      <x:c r="A55" s="33" t="str">
        <x:f>IF(OR(B55="",D55=""),"",B55&amp;"-"&amp;IF(OR(C55="",C55="-"),"X",UPPER(C55))&amp;"-"&amp;TEXT(D55,"00"))</x:f>
        <x:v>PB-DON-NU45-C-02</x:v>
      </x:c>
      <x:c r="B55" s="26" t="str">
        <x:v>PB-DON-NU45</x:v>
      </x:c>
      <x:c r="C55" s="26" t="str">
        <x:v>C</x:v>
      </x:c>
      <x:c r="D55" s="35" t="n">
        <x:v>2</x:v>
      </x:c>
      <x:c r="E55" s="28" t="str"/>
      <x:c r="F55" s="28" t="str"/>
      <x:c r="G55" s="28" t="str"/>
      <x:c r="H55" s="28" t="str"/>
      <x:c r="I55" s="28" t="str"/>
      <x:c r="J55" s="28" t="str"/>
      <x:c r="K55" s="28" t="str">
        <x:v>PDF scan: điền tên theo danh sách gốc</x:v>
      </x:c>
      <x:c r="L55" s="33" t="n">
        <x:v>9</x:v>
      </x:c>
      <x:c r="M55" s="33" t="str">
        <x:f>IF(E55="","CHỜ NHẬP","ĐÃ CÓ DỮ LIỆU")</x:f>
        <x:v>CHỜ NHẬP</x:v>
      </x:c>
      <x:c r="N55" s="33" t="str">
        <x:f>IF(AND(B55="",E55=""),"",IF(A55="","THIẾU ID",IF(COUNTIF($A$8:$A$193,A55)&gt;1,"TRÙNG ID",IF(COUNTIF(HANG_MUC!$A$6:$A$50,B55)=0,"SAI HẠNG MỤC","OK"))))</x:f>
        <x:v>OK</x:v>
      </x:c>
    </x:row>
    <x:row r="56">
      <x:c r="A56" s="33" t="str">
        <x:f>IF(OR(B56="",D56=""),"",B56&amp;"-"&amp;IF(OR(C56="",C56="-"),"X",UPPER(C56))&amp;"-"&amp;TEXT(D56,"00"))</x:f>
        <x:v>PB-DON-NU45-C-03</x:v>
      </x:c>
      <x:c r="B56" s="26" t="str">
        <x:v>PB-DON-NU45</x:v>
      </x:c>
      <x:c r="C56" s="26" t="str">
        <x:v>C</x:v>
      </x:c>
      <x:c r="D56" s="35" t="n">
        <x:v>3</x:v>
      </x:c>
      <x:c r="E56" s="28" t="str"/>
      <x:c r="F56" s="28" t="str"/>
      <x:c r="G56" s="28" t="str"/>
      <x:c r="H56" s="28" t="str"/>
      <x:c r="I56" s="28" t="str"/>
      <x:c r="J56" s="28" t="str"/>
      <x:c r="K56" s="28" t="str">
        <x:v>PDF scan: điền tên theo danh sách gốc</x:v>
      </x:c>
      <x:c r="L56" s="33" t="n">
        <x:v>9</x:v>
      </x:c>
      <x:c r="M56" s="33" t="str">
        <x:f>IF(E56="","CHỜ NHẬP","ĐÃ CÓ DỮ LIỆU")</x:f>
        <x:v>CHỜ NHẬP</x:v>
      </x:c>
      <x:c r="N56" s="33" t="str">
        <x:f>IF(AND(B56="",E56=""),"",IF(A56="","THIẾU ID",IF(COUNTIF($A$8:$A$193,A56)&gt;1,"TRÙNG ID",IF(COUNTIF(HANG_MUC!$A$6:$A$50,B56)=0,"SAI HẠNG MỤC","OK"))))</x:f>
        <x:v>OK</x:v>
      </x:c>
    </x:row>
    <x:row r="57">
      <x:c r="A57" s="33" t="str">
        <x:f>IF(OR(B57="",D57=""),"",B57&amp;"-"&amp;IF(OR(C57="",C57="-"),"X",UPPER(C57))&amp;"-"&amp;TEXT(D57,"00"))</x:f>
        <x:v>PB-DON-NU45-D-01</x:v>
      </x:c>
      <x:c r="B57" s="26" t="str">
        <x:v>PB-DON-NU45</x:v>
      </x:c>
      <x:c r="C57" s="26" t="str">
        <x:v>D</x:v>
      </x:c>
      <x:c r="D57" s="35" t="n">
        <x:v>1</x:v>
      </x:c>
      <x:c r="E57" s="28" t="str"/>
      <x:c r="F57" s="28" t="str"/>
      <x:c r="G57" s="28" t="str"/>
      <x:c r="H57" s="28" t="str"/>
      <x:c r="I57" s="28" t="str"/>
      <x:c r="J57" s="28" t="str"/>
      <x:c r="K57" s="28" t="str">
        <x:v>PDF scan: điền tên theo danh sách gốc</x:v>
      </x:c>
      <x:c r="L57" s="33" t="n">
        <x:v>9</x:v>
      </x:c>
      <x:c r="M57" s="33" t="str">
        <x:f>IF(E57="","CHỜ NHẬP","ĐÃ CÓ DỮ LIỆU")</x:f>
        <x:v>CHỜ NHẬP</x:v>
      </x:c>
      <x:c r="N57" s="33" t="str">
        <x:f>IF(AND(B57="",E57=""),"",IF(A57="","THIẾU ID",IF(COUNTIF($A$8:$A$193,A57)&gt;1,"TRÙNG ID",IF(COUNTIF(HANG_MUC!$A$6:$A$50,B57)=0,"SAI HẠNG MỤC","OK"))))</x:f>
        <x:v>OK</x:v>
      </x:c>
    </x:row>
    <x:row r="58">
      <x:c r="A58" s="33" t="str">
        <x:f>IF(OR(B58="",D58=""),"",B58&amp;"-"&amp;IF(OR(C58="",C58="-"),"X",UPPER(C58))&amp;"-"&amp;TEXT(D58,"00"))</x:f>
        <x:v>PB-DON-NU45-D-02</x:v>
      </x:c>
      <x:c r="B58" s="26" t="str">
        <x:v>PB-DON-NU45</x:v>
      </x:c>
      <x:c r="C58" s="26" t="str">
        <x:v>D</x:v>
      </x:c>
      <x:c r="D58" s="35" t="n">
        <x:v>2</x:v>
      </x:c>
      <x:c r="E58" s="28" t="str"/>
      <x:c r="F58" s="28" t="str"/>
      <x:c r="G58" s="28" t="str"/>
      <x:c r="H58" s="28" t="str"/>
      <x:c r="I58" s="28" t="str"/>
      <x:c r="J58" s="28" t="str"/>
      <x:c r="K58" s="28" t="str">
        <x:v>PDF scan: điền tên theo danh sách gốc</x:v>
      </x:c>
      <x:c r="L58" s="33" t="n">
        <x:v>9</x:v>
      </x:c>
      <x:c r="M58" s="33" t="str">
        <x:f>IF(E58="","CHỜ NHẬP","ĐÃ CÓ DỮ LIỆU")</x:f>
        <x:v>CHỜ NHẬP</x:v>
      </x:c>
      <x:c r="N58" s="33" t="str">
        <x:f>IF(AND(B58="",E58=""),"",IF(A58="","THIẾU ID",IF(COUNTIF($A$8:$A$193,A58)&gt;1,"TRÙNG ID",IF(COUNTIF(HANG_MUC!$A$6:$A$50,B58)=0,"SAI HẠNG MỤC","OK"))))</x:f>
        <x:v>OK</x:v>
      </x:c>
    </x:row>
    <x:row r="59">
      <x:c r="A59" s="33" t="str">
        <x:f>IF(OR(B59="",D59=""),"",B59&amp;"-"&amp;IF(OR(C59="",C59="-"),"X",UPPER(C59))&amp;"-"&amp;TEXT(D59,"00"))</x:f>
        <x:v>PB-DON-NU45-D-03</x:v>
      </x:c>
      <x:c r="B59" s="26" t="str">
        <x:v>PB-DON-NU45</x:v>
      </x:c>
      <x:c r="C59" s="26" t="str">
        <x:v>D</x:v>
      </x:c>
      <x:c r="D59" s="35" t="n">
        <x:v>3</x:v>
      </x:c>
      <x:c r="E59" s="28" t="str"/>
      <x:c r="F59" s="28" t="str"/>
      <x:c r="G59" s="28" t="str"/>
      <x:c r="H59" s="28" t="str"/>
      <x:c r="I59" s="28" t="str"/>
      <x:c r="J59" s="28" t="str"/>
      <x:c r="K59" s="28" t="str">
        <x:v>PDF scan: điền tên theo danh sách gốc</x:v>
      </x:c>
      <x:c r="L59" s="33" t="n">
        <x:v>9</x:v>
      </x:c>
      <x:c r="M59" s="33" t="str">
        <x:f>IF(E59="","CHỜ NHẬP","ĐÃ CÓ DỮ LIỆU")</x:f>
        <x:v>CHỜ NHẬP</x:v>
      </x:c>
      <x:c r="N59" s="33" t="str">
        <x:f>IF(AND(B59="",E59=""),"",IF(A59="","THIẾU ID",IF(COUNTIF($A$8:$A$193,A59)&gt;1,"TRÙNG ID",IF(COUNTIF(HANG_MUC!$A$6:$A$50,B59)=0,"SAI HẠNG MỤC","OK"))))</x:f>
        <x:v>OK</x:v>
      </x:c>
    </x:row>
    <x:row r="60">
      <x:c r="A60" s="33" t="str">
        <x:f>IF(OR(B60="",D60=""),"",B60&amp;"-"&amp;IF(OR(C60="",C60="-"),"X",UPPER(C60))&amp;"-"&amp;TEXT(D60,"00"))</x:f>
        <x:v>PB-DON-NU46-A-01</x:v>
      </x:c>
      <x:c r="B60" s="26" t="str">
        <x:v>PB-DON-NU46</x:v>
      </x:c>
      <x:c r="C60" s="26" t="str">
        <x:v>A</x:v>
      </x:c>
      <x:c r="D60" s="35" t="n">
        <x:v>1</x:v>
      </x:c>
      <x:c r="E60" s="28" t="str"/>
      <x:c r="F60" s="28" t="str"/>
      <x:c r="G60" s="28" t="str"/>
      <x:c r="H60" s="28" t="str"/>
      <x:c r="I60" s="28" t="str"/>
      <x:c r="J60" s="28" t="str"/>
      <x:c r="K60" s="28" t="str">
        <x:v>PDF scan: điền tên theo danh sách gốc</x:v>
      </x:c>
      <x:c r="L60" s="33" t="n">
        <x:v>12</x:v>
      </x:c>
      <x:c r="M60" s="33" t="str">
        <x:f>IF(E60="","CHỜ NHẬP","ĐÃ CÓ DỮ LIỆU")</x:f>
        <x:v>CHỜ NHẬP</x:v>
      </x:c>
      <x:c r="N60" s="33" t="str">
        <x:f>IF(AND(B60="",E60=""),"",IF(A60="","THIẾU ID",IF(COUNTIF($A$8:$A$193,A60)&gt;1,"TRÙNG ID",IF(COUNTIF(HANG_MUC!$A$6:$A$50,B60)=0,"SAI HẠNG MỤC","OK"))))</x:f>
        <x:v>OK</x:v>
      </x:c>
    </x:row>
    <x:row r="61">
      <x:c r="A61" s="33" t="str">
        <x:f>IF(OR(B61="",D61=""),"",B61&amp;"-"&amp;IF(OR(C61="",C61="-"),"X",UPPER(C61))&amp;"-"&amp;TEXT(D61,"00"))</x:f>
        <x:v>PB-DON-NU46-A-02</x:v>
      </x:c>
      <x:c r="B61" s="26" t="str">
        <x:v>PB-DON-NU46</x:v>
      </x:c>
      <x:c r="C61" s="26" t="str">
        <x:v>A</x:v>
      </x:c>
      <x:c r="D61" s="35" t="n">
        <x:v>2</x:v>
      </x:c>
      <x:c r="E61" s="28" t="str"/>
      <x:c r="F61" s="28" t="str"/>
      <x:c r="G61" s="28" t="str"/>
      <x:c r="H61" s="28" t="str"/>
      <x:c r="I61" s="28" t="str"/>
      <x:c r="J61" s="28" t="str"/>
      <x:c r="K61" s="28" t="str">
        <x:v>PDF scan: điền tên theo danh sách gốc</x:v>
      </x:c>
      <x:c r="L61" s="33" t="n">
        <x:v>12</x:v>
      </x:c>
      <x:c r="M61" s="33" t="str">
        <x:f>IF(E61="","CHỜ NHẬP","ĐÃ CÓ DỮ LIỆU")</x:f>
        <x:v>CHỜ NHẬP</x:v>
      </x:c>
      <x:c r="N61" s="33" t="str">
        <x:f>IF(AND(B61="",E61=""),"",IF(A61="","THIẾU ID",IF(COUNTIF($A$8:$A$193,A61)&gt;1,"TRÙNG ID",IF(COUNTIF(HANG_MUC!$A$6:$A$50,B61)=0,"SAI HẠNG MỤC","OK"))))</x:f>
        <x:v>OK</x:v>
      </x:c>
    </x:row>
    <x:row r="62">
      <x:c r="A62" s="33" t="str">
        <x:f>IF(OR(B62="",D62=""),"",B62&amp;"-"&amp;IF(OR(C62="",C62="-"),"X",UPPER(C62))&amp;"-"&amp;TEXT(D62,"00"))</x:f>
        <x:v>PB-DON-NU46-A-03</x:v>
      </x:c>
      <x:c r="B62" s="26" t="str">
        <x:v>PB-DON-NU46</x:v>
      </x:c>
      <x:c r="C62" s="26" t="str">
        <x:v>A</x:v>
      </x:c>
      <x:c r="D62" s="35" t="n">
        <x:v>3</x:v>
      </x:c>
      <x:c r="E62" s="28" t="str"/>
      <x:c r="F62" s="28" t="str"/>
      <x:c r="G62" s="28" t="str"/>
      <x:c r="H62" s="28" t="str"/>
      <x:c r="I62" s="28" t="str"/>
      <x:c r="J62" s="28" t="str"/>
      <x:c r="K62" s="28" t="str">
        <x:v>PDF scan: điền tên theo danh sách gốc</x:v>
      </x:c>
      <x:c r="L62" s="33" t="n">
        <x:v>12</x:v>
      </x:c>
      <x:c r="M62" s="33" t="str">
        <x:f>IF(E62="","CHỜ NHẬP","ĐÃ CÓ DỮ LIỆU")</x:f>
        <x:v>CHỜ NHẬP</x:v>
      </x:c>
      <x:c r="N62" s="33" t="str">
        <x:f>IF(AND(B62="",E62=""),"",IF(A62="","THIẾU ID",IF(COUNTIF($A$8:$A$193,A62)&gt;1,"TRÙNG ID",IF(COUNTIF(HANG_MUC!$A$6:$A$50,B62)=0,"SAI HẠNG MỤC","OK"))))</x:f>
        <x:v>OK</x:v>
      </x:c>
    </x:row>
    <x:row r="63">
      <x:c r="A63" s="33" t="str">
        <x:f>IF(OR(B63="",D63=""),"",B63&amp;"-"&amp;IF(OR(C63="",C63="-"),"X",UPPER(C63))&amp;"-"&amp;TEXT(D63,"00"))</x:f>
        <x:v>PB-DON-NU46-A-04</x:v>
      </x:c>
      <x:c r="B63" s="26" t="str">
        <x:v>PB-DON-NU46</x:v>
      </x:c>
      <x:c r="C63" s="26" t="str">
        <x:v>A</x:v>
      </x:c>
      <x:c r="D63" s="35" t="n">
        <x:v>4</x:v>
      </x:c>
      <x:c r="E63" s="28" t="str"/>
      <x:c r="F63" s="28" t="str"/>
      <x:c r="G63" s="28" t="str"/>
      <x:c r="H63" s="28" t="str"/>
      <x:c r="I63" s="28" t="str"/>
      <x:c r="J63" s="28" t="str"/>
      <x:c r="K63" s="28" t="str">
        <x:v>PDF scan: điền tên theo danh sách gốc</x:v>
      </x:c>
      <x:c r="L63" s="33" t="n">
        <x:v>12</x:v>
      </x:c>
      <x:c r="M63" s="33" t="str">
        <x:f>IF(E63="","CHỜ NHẬP","ĐÃ CÓ DỮ LIỆU")</x:f>
        <x:v>CHỜ NHẬP</x:v>
      </x:c>
      <x:c r="N63" s="33" t="str">
        <x:f>IF(AND(B63="",E63=""),"",IF(A63="","THIẾU ID",IF(COUNTIF($A$8:$A$193,A63)&gt;1,"TRÙNG ID",IF(COUNTIF(HANG_MUC!$A$6:$A$50,B63)=0,"SAI HẠNG MỤC","OK"))))</x:f>
        <x:v>OK</x:v>
      </x:c>
    </x:row>
    <x:row r="64">
      <x:c r="A64" s="33" t="str">
        <x:f>IF(OR(B64="",D64=""),"",B64&amp;"-"&amp;IF(OR(C64="",C64="-"),"X",UPPER(C64))&amp;"-"&amp;TEXT(D64,"00"))</x:f>
        <x:v>PB-DOI-NAM45-A-01</x:v>
      </x:c>
      <x:c r="B64" s="26" t="str">
        <x:v>PB-DOI-NAM45</x:v>
      </x:c>
      <x:c r="C64" s="26" t="str">
        <x:v>A</x:v>
      </x:c>
      <x:c r="D64" s="35" t="n">
        <x:v>1</x:v>
      </x:c>
      <x:c r="E64" s="28" t="str"/>
      <x:c r="F64" s="28" t="str"/>
      <x:c r="G64" s="28" t="str"/>
      <x:c r="H64" s="28" t="str"/>
      <x:c r="I64" s="28" t="str"/>
      <x:c r="J64" s="28" t="str"/>
      <x:c r="K64" s="28" t="str">
        <x:v>PDF scan: điền tên theo danh sách gốc</x:v>
      </x:c>
      <x:c r="L64" s="33" t="n">
        <x:v>13</x:v>
      </x:c>
      <x:c r="M64" s="33" t="str">
        <x:f>IF(E64="","CHỜ NHẬP","ĐÃ CÓ DỮ LIỆU")</x:f>
        <x:v>CHỜ NHẬP</x:v>
      </x:c>
      <x:c r="N64" s="33" t="str">
        <x:f>IF(AND(B64="",E64=""),"",IF(A64="","THIẾU ID",IF(COUNTIF($A$8:$A$193,A64)&gt;1,"TRÙNG ID",IF(COUNTIF(HANG_MUC!$A$6:$A$50,B64)=0,"SAI HẠNG MỤC","OK"))))</x:f>
        <x:v>OK</x:v>
      </x:c>
    </x:row>
    <x:row r="65">
      <x:c r="A65" s="33" t="str">
        <x:f>IF(OR(B65="",D65=""),"",B65&amp;"-"&amp;IF(OR(C65="",C65="-"),"X",UPPER(C65))&amp;"-"&amp;TEXT(D65,"00"))</x:f>
        <x:v>PB-DOI-NAM45-A-02</x:v>
      </x:c>
      <x:c r="B65" s="26" t="str">
        <x:v>PB-DOI-NAM45</x:v>
      </x:c>
      <x:c r="C65" s="26" t="str">
        <x:v>A</x:v>
      </x:c>
      <x:c r="D65" s="35" t="n">
        <x:v>2</x:v>
      </x:c>
      <x:c r="E65" s="28" t="str"/>
      <x:c r="F65" s="28" t="str"/>
      <x:c r="G65" s="28" t="str"/>
      <x:c r="H65" s="28" t="str"/>
      <x:c r="I65" s="28" t="str"/>
      <x:c r="J65" s="28" t="str"/>
      <x:c r="K65" s="28" t="str">
        <x:v>PDF scan: điền tên theo danh sách gốc</x:v>
      </x:c>
      <x:c r="L65" s="33" t="n">
        <x:v>13</x:v>
      </x:c>
      <x:c r="M65" s="33" t="str">
        <x:f>IF(E65="","CHỜ NHẬP","ĐÃ CÓ DỮ LIỆU")</x:f>
        <x:v>CHỜ NHẬP</x:v>
      </x:c>
      <x:c r="N65" s="33" t="str">
        <x:f>IF(AND(B65="",E65=""),"",IF(A65="","THIẾU ID",IF(COUNTIF($A$8:$A$193,A65)&gt;1,"TRÙNG ID",IF(COUNTIF(HANG_MUC!$A$6:$A$50,B65)=0,"SAI HẠNG MỤC","OK"))))</x:f>
        <x:v>OK</x:v>
      </x:c>
    </x:row>
    <x:row r="66">
      <x:c r="A66" s="33" t="str">
        <x:f>IF(OR(B66="",D66=""),"",B66&amp;"-"&amp;IF(OR(C66="",C66="-"),"X",UPPER(C66))&amp;"-"&amp;TEXT(D66,"00"))</x:f>
        <x:v>PB-DOI-NAM45-A-03</x:v>
      </x:c>
      <x:c r="B66" s="26" t="str">
        <x:v>PB-DOI-NAM45</x:v>
      </x:c>
      <x:c r="C66" s="26" t="str">
        <x:v>A</x:v>
      </x:c>
      <x:c r="D66" s="35" t="n">
        <x:v>3</x:v>
      </x:c>
      <x:c r="E66" s="28" t="str"/>
      <x:c r="F66" s="28" t="str"/>
      <x:c r="G66" s="28" t="str"/>
      <x:c r="H66" s="28" t="str"/>
      <x:c r="I66" s="28" t="str"/>
      <x:c r="J66" s="28" t="str"/>
      <x:c r="K66" s="28" t="str">
        <x:v>PDF scan: điền tên theo danh sách gốc</x:v>
      </x:c>
      <x:c r="L66" s="33" t="n">
        <x:v>13</x:v>
      </x:c>
      <x:c r="M66" s="33" t="str">
        <x:f>IF(E66="","CHỜ NHẬP","ĐÃ CÓ DỮ LIỆU")</x:f>
        <x:v>CHỜ NHẬP</x:v>
      </x:c>
      <x:c r="N66" s="33" t="str">
        <x:f>IF(AND(B66="",E66=""),"",IF(A66="","THIẾU ID",IF(COUNTIF($A$8:$A$193,A66)&gt;1,"TRÙNG ID",IF(COUNTIF(HANG_MUC!$A$6:$A$50,B66)=0,"SAI HẠNG MỤC","OK"))))</x:f>
        <x:v>OK</x:v>
      </x:c>
    </x:row>
    <x:row r="67">
      <x:c r="A67" s="33" t="str">
        <x:f>IF(OR(B67="",D67=""),"",B67&amp;"-"&amp;IF(OR(C67="",C67="-"),"X",UPPER(C67))&amp;"-"&amp;TEXT(D67,"00"))</x:f>
        <x:v>PB-DOI-NAM45-A-04</x:v>
      </x:c>
      <x:c r="B67" s="26" t="str">
        <x:v>PB-DOI-NAM45</x:v>
      </x:c>
      <x:c r="C67" s="26" t="str">
        <x:v>A</x:v>
      </x:c>
      <x:c r="D67" s="35" t="n">
        <x:v>4</x:v>
      </x:c>
      <x:c r="E67" s="28" t="str"/>
      <x:c r="F67" s="28" t="str"/>
      <x:c r="G67" s="28" t="str"/>
      <x:c r="H67" s="28" t="str"/>
      <x:c r="I67" s="28" t="str"/>
      <x:c r="J67" s="28" t="str"/>
      <x:c r="K67" s="28" t="str">
        <x:v>PDF scan: điền tên theo danh sách gốc</x:v>
      </x:c>
      <x:c r="L67" s="33" t="n">
        <x:v>13</x:v>
      </x:c>
      <x:c r="M67" s="33" t="str">
        <x:f>IF(E67="","CHỜ NHẬP","ĐÃ CÓ DỮ LIỆU")</x:f>
        <x:v>CHỜ NHẬP</x:v>
      </x:c>
      <x:c r="N67" s="33" t="str">
        <x:f>IF(AND(B67="",E67=""),"",IF(A67="","THIẾU ID",IF(COUNTIF($A$8:$A$193,A67)&gt;1,"TRÙNG ID",IF(COUNTIF(HANG_MUC!$A$6:$A$50,B67)=0,"SAI HẠNG MỤC","OK"))))</x:f>
        <x:v>OK</x:v>
      </x:c>
    </x:row>
    <x:row r="68">
      <x:c r="A68" s="33" t="str">
        <x:f>IF(OR(B68="",D68=""),"",B68&amp;"-"&amp;IF(OR(C68="",C68="-"),"X",UPPER(C68))&amp;"-"&amp;TEXT(D68,"00"))</x:f>
        <x:v>PB-DOI-NAM45-B-01</x:v>
      </x:c>
      <x:c r="B68" s="26" t="str">
        <x:v>PB-DOI-NAM45</x:v>
      </x:c>
      <x:c r="C68" s="26" t="str">
        <x:v>B</x:v>
      </x:c>
      <x:c r="D68" s="35" t="n">
        <x:v>1</x:v>
      </x:c>
      <x:c r="E68" s="28" t="str"/>
      <x:c r="F68" s="28" t="str"/>
      <x:c r="G68" s="28" t="str"/>
      <x:c r="H68" s="28" t="str"/>
      <x:c r="I68" s="28" t="str"/>
      <x:c r="J68" s="28" t="str"/>
      <x:c r="K68" s="28" t="str">
        <x:v>PDF scan: điền tên theo danh sách gốc</x:v>
      </x:c>
      <x:c r="L68" s="33" t="n">
        <x:v>13</x:v>
      </x:c>
      <x:c r="M68" s="33" t="str">
        <x:f>IF(E68="","CHỜ NHẬP","ĐÃ CÓ DỮ LIỆU")</x:f>
        <x:v>CHỜ NHẬP</x:v>
      </x:c>
      <x:c r="N68" s="33" t="str">
        <x:f>IF(AND(B68="",E68=""),"",IF(A68="","THIẾU ID",IF(COUNTIF($A$8:$A$193,A68)&gt;1,"TRÙNG ID",IF(COUNTIF(HANG_MUC!$A$6:$A$50,B68)=0,"SAI HẠNG MỤC","OK"))))</x:f>
        <x:v>OK</x:v>
      </x:c>
    </x:row>
    <x:row r="69">
      <x:c r="A69" s="33" t="str">
        <x:f>IF(OR(B69="",D69=""),"",B69&amp;"-"&amp;IF(OR(C69="",C69="-"),"X",UPPER(C69))&amp;"-"&amp;TEXT(D69,"00"))</x:f>
        <x:v>PB-DOI-NAM45-B-02</x:v>
      </x:c>
      <x:c r="B69" s="26" t="str">
        <x:v>PB-DOI-NAM45</x:v>
      </x:c>
      <x:c r="C69" s="26" t="str">
        <x:v>B</x:v>
      </x:c>
      <x:c r="D69" s="35" t="n">
        <x:v>2</x:v>
      </x:c>
      <x:c r="E69" s="28" t="str"/>
      <x:c r="F69" s="28" t="str"/>
      <x:c r="G69" s="28" t="str"/>
      <x:c r="H69" s="28" t="str"/>
      <x:c r="I69" s="28" t="str"/>
      <x:c r="J69" s="28" t="str"/>
      <x:c r="K69" s="28" t="str">
        <x:v>PDF scan: điền tên theo danh sách gốc</x:v>
      </x:c>
      <x:c r="L69" s="33" t="n">
        <x:v>13</x:v>
      </x:c>
      <x:c r="M69" s="33" t="str">
        <x:f>IF(E69="","CHỜ NHẬP","ĐÃ CÓ DỮ LIỆU")</x:f>
        <x:v>CHỜ NHẬP</x:v>
      </x:c>
      <x:c r="N69" s="33" t="str">
        <x:f>IF(AND(B69="",E69=""),"",IF(A69="","THIẾU ID",IF(COUNTIF($A$8:$A$193,A69)&gt;1,"TRÙNG ID",IF(COUNTIF(HANG_MUC!$A$6:$A$50,B69)=0,"SAI HẠNG MỤC","OK"))))</x:f>
        <x:v>OK</x:v>
      </x:c>
    </x:row>
    <x:row r="70">
      <x:c r="A70" s="33" t="str">
        <x:f>IF(OR(B70="",D70=""),"",B70&amp;"-"&amp;IF(OR(C70="",C70="-"),"X",UPPER(C70))&amp;"-"&amp;TEXT(D70,"00"))</x:f>
        <x:v>PB-DOI-NAM45-B-03</x:v>
      </x:c>
      <x:c r="B70" s="26" t="str">
        <x:v>PB-DOI-NAM45</x:v>
      </x:c>
      <x:c r="C70" s="26" t="str">
        <x:v>B</x:v>
      </x:c>
      <x:c r="D70" s="35" t="n">
        <x:v>3</x:v>
      </x:c>
      <x:c r="E70" s="28" t="str"/>
      <x:c r="F70" s="28" t="str"/>
      <x:c r="G70" s="28" t="str"/>
      <x:c r="H70" s="28" t="str"/>
      <x:c r="I70" s="28" t="str"/>
      <x:c r="J70" s="28" t="str"/>
      <x:c r="K70" s="28" t="str">
        <x:v>PDF scan: điền tên theo danh sách gốc</x:v>
      </x:c>
      <x:c r="L70" s="33" t="n">
        <x:v>13</x:v>
      </x:c>
      <x:c r="M70" s="33" t="str">
        <x:f>IF(E70="","CHỜ NHẬP","ĐÃ CÓ DỮ LIỆU")</x:f>
        <x:v>CHỜ NHẬP</x:v>
      </x:c>
      <x:c r="N70" s="33" t="str">
        <x:f>IF(AND(B70="",E70=""),"",IF(A70="","THIẾU ID",IF(COUNTIF($A$8:$A$193,A70)&gt;1,"TRÙNG ID",IF(COUNTIF(HANG_MUC!$A$6:$A$50,B70)=0,"SAI HẠNG MỤC","OK"))))</x:f>
        <x:v>OK</x:v>
      </x:c>
    </x:row>
    <x:row r="71">
      <x:c r="A71" s="33" t="str">
        <x:f>IF(OR(B71="",D71=""),"",B71&amp;"-"&amp;IF(OR(C71="",C71="-"),"X",UPPER(C71))&amp;"-"&amp;TEXT(D71,"00"))</x:f>
        <x:v>PB-DOI-NAM45-B-04</x:v>
      </x:c>
      <x:c r="B71" s="26" t="str">
        <x:v>PB-DOI-NAM45</x:v>
      </x:c>
      <x:c r="C71" s="26" t="str">
        <x:v>B</x:v>
      </x:c>
      <x:c r="D71" s="35" t="n">
        <x:v>4</x:v>
      </x:c>
      <x:c r="E71" s="28" t="str"/>
      <x:c r="F71" s="28" t="str"/>
      <x:c r="G71" s="28" t="str"/>
      <x:c r="H71" s="28" t="str"/>
      <x:c r="I71" s="28" t="str"/>
      <x:c r="J71" s="28" t="str"/>
      <x:c r="K71" s="28" t="str">
        <x:v>PDF scan: điền tên theo danh sách gốc</x:v>
      </x:c>
      <x:c r="L71" s="33" t="n">
        <x:v>13</x:v>
      </x:c>
      <x:c r="M71" s="33" t="str">
        <x:f>IF(E71="","CHỜ NHẬP","ĐÃ CÓ DỮ LIỆU")</x:f>
        <x:v>CHỜ NHẬP</x:v>
      </x:c>
      <x:c r="N71" s="33" t="str">
        <x:f>IF(AND(B71="",E71=""),"",IF(A71="","THIẾU ID",IF(COUNTIF($A$8:$A$193,A71)&gt;1,"TRÙNG ID",IF(COUNTIF(HANG_MUC!$A$6:$A$50,B71)=0,"SAI HẠNG MỤC","OK"))))</x:f>
        <x:v>OK</x:v>
      </x:c>
    </x:row>
    <x:row r="72">
      <x:c r="A72" s="33" t="str">
        <x:f>IF(OR(B72="",D72=""),"",B72&amp;"-"&amp;IF(OR(C72="",C72="-"),"X",UPPER(C72))&amp;"-"&amp;TEXT(D72,"00"))</x:f>
        <x:v>PB-DOI-NAM45-C-01</x:v>
      </x:c>
      <x:c r="B72" s="26" t="str">
        <x:v>PB-DOI-NAM45</x:v>
      </x:c>
      <x:c r="C72" s="26" t="str">
        <x:v>C</x:v>
      </x:c>
      <x:c r="D72" s="35" t="n">
        <x:v>1</x:v>
      </x:c>
      <x:c r="E72" s="28" t="str"/>
      <x:c r="F72" s="28" t="str"/>
      <x:c r="G72" s="28" t="str"/>
      <x:c r="H72" s="28" t="str"/>
      <x:c r="I72" s="28" t="str"/>
      <x:c r="J72" s="28" t="str"/>
      <x:c r="K72" s="28" t="str">
        <x:v>PDF scan: điền tên theo danh sách gốc</x:v>
      </x:c>
      <x:c r="L72" s="33" t="n">
        <x:v>13</x:v>
      </x:c>
      <x:c r="M72" s="33" t="str">
        <x:f>IF(E72="","CHỜ NHẬP","ĐÃ CÓ DỮ LIỆU")</x:f>
        <x:v>CHỜ NHẬP</x:v>
      </x:c>
      <x:c r="N72" s="33" t="str">
        <x:f>IF(AND(B72="",E72=""),"",IF(A72="","THIẾU ID",IF(COUNTIF($A$8:$A$193,A72)&gt;1,"TRÙNG ID",IF(COUNTIF(HANG_MUC!$A$6:$A$50,B72)=0,"SAI HẠNG MỤC","OK"))))</x:f>
        <x:v>OK</x:v>
      </x:c>
    </x:row>
    <x:row r="73">
      <x:c r="A73" s="33" t="str">
        <x:f>IF(OR(B73="",D73=""),"",B73&amp;"-"&amp;IF(OR(C73="",C73="-"),"X",UPPER(C73))&amp;"-"&amp;TEXT(D73,"00"))</x:f>
        <x:v>PB-DOI-NAM45-C-02</x:v>
      </x:c>
      <x:c r="B73" s="26" t="str">
        <x:v>PB-DOI-NAM45</x:v>
      </x:c>
      <x:c r="C73" s="26" t="str">
        <x:v>C</x:v>
      </x:c>
      <x:c r="D73" s="35" t="n">
        <x:v>2</x:v>
      </x:c>
      <x:c r="E73" s="28" t="str"/>
      <x:c r="F73" s="28" t="str"/>
      <x:c r="G73" s="28" t="str"/>
      <x:c r="H73" s="28" t="str"/>
      <x:c r="I73" s="28" t="str"/>
      <x:c r="J73" s="28" t="str"/>
      <x:c r="K73" s="28" t="str">
        <x:v>PDF scan: điền tên theo danh sách gốc</x:v>
      </x:c>
      <x:c r="L73" s="33" t="n">
        <x:v>13</x:v>
      </x:c>
      <x:c r="M73" s="33" t="str">
        <x:f>IF(E73="","CHỜ NHẬP","ĐÃ CÓ DỮ LIỆU")</x:f>
        <x:v>CHỜ NHẬP</x:v>
      </x:c>
      <x:c r="N73" s="33" t="str">
        <x:f>IF(AND(B73="",E73=""),"",IF(A73="","THIẾU ID",IF(COUNTIF($A$8:$A$193,A73)&gt;1,"TRÙNG ID",IF(COUNTIF(HANG_MUC!$A$6:$A$50,B73)=0,"SAI HẠNG MỤC","OK"))))</x:f>
        <x:v>OK</x:v>
      </x:c>
    </x:row>
    <x:row r="74">
      <x:c r="A74" s="33" t="str">
        <x:f>IF(OR(B74="",D74=""),"",B74&amp;"-"&amp;IF(OR(C74="",C74="-"),"X",UPPER(C74))&amp;"-"&amp;TEXT(D74,"00"))</x:f>
        <x:v>PB-DOI-NAM45-C-03</x:v>
      </x:c>
      <x:c r="B74" s="26" t="str">
        <x:v>PB-DOI-NAM45</x:v>
      </x:c>
      <x:c r="C74" s="26" t="str">
        <x:v>C</x:v>
      </x:c>
      <x:c r="D74" s="35" t="n">
        <x:v>3</x:v>
      </x:c>
      <x:c r="E74" s="28" t="str"/>
      <x:c r="F74" s="28" t="str"/>
      <x:c r="G74" s="28" t="str"/>
      <x:c r="H74" s="28" t="str"/>
      <x:c r="I74" s="28" t="str"/>
      <x:c r="J74" s="28" t="str"/>
      <x:c r="K74" s="28" t="str">
        <x:v>PDF scan: điền tên theo danh sách gốc</x:v>
      </x:c>
      <x:c r="L74" s="33" t="n">
        <x:v>13</x:v>
      </x:c>
      <x:c r="M74" s="33" t="str">
        <x:f>IF(E74="","CHỜ NHẬP","ĐÃ CÓ DỮ LIỆU")</x:f>
        <x:v>CHỜ NHẬP</x:v>
      </x:c>
      <x:c r="N74" s="33" t="str">
        <x:f>IF(AND(B74="",E74=""),"",IF(A74="","THIẾU ID",IF(COUNTIF($A$8:$A$193,A74)&gt;1,"TRÙNG ID",IF(COUNTIF(HANG_MUC!$A$6:$A$50,B74)=0,"SAI HẠNG MỤC","OK"))))</x:f>
        <x:v>OK</x:v>
      </x:c>
    </x:row>
    <x:row r="75">
      <x:c r="A75" s="33" t="str">
        <x:f>IF(OR(B75="",D75=""),"",B75&amp;"-"&amp;IF(OR(C75="",C75="-"),"X",UPPER(C75))&amp;"-"&amp;TEXT(D75,"00"))</x:f>
        <x:v>PB-DOI-NAM45-C-04</x:v>
      </x:c>
      <x:c r="B75" s="26" t="str">
        <x:v>PB-DOI-NAM45</x:v>
      </x:c>
      <x:c r="C75" s="26" t="str">
        <x:v>C</x:v>
      </x:c>
      <x:c r="D75" s="35" t="n">
        <x:v>4</x:v>
      </x:c>
      <x:c r="E75" s="28" t="str"/>
      <x:c r="F75" s="28" t="str"/>
      <x:c r="G75" s="28" t="str"/>
      <x:c r="H75" s="28" t="str"/>
      <x:c r="I75" s="28" t="str"/>
      <x:c r="J75" s="28" t="str"/>
      <x:c r="K75" s="28" t="str">
        <x:v>PDF scan: điền tên theo danh sách gốc</x:v>
      </x:c>
      <x:c r="L75" s="33" t="n">
        <x:v>13</x:v>
      </x:c>
      <x:c r="M75" s="33" t="str">
        <x:f>IF(E75="","CHỜ NHẬP","ĐÃ CÓ DỮ LIỆU")</x:f>
        <x:v>CHỜ NHẬP</x:v>
      </x:c>
      <x:c r="N75" s="33" t="str">
        <x:f>IF(AND(B75="",E75=""),"",IF(A75="","THIẾU ID",IF(COUNTIF($A$8:$A$193,A75)&gt;1,"TRÙNG ID",IF(COUNTIF(HANG_MUC!$A$6:$A$50,B75)=0,"SAI HẠNG MỤC","OK"))))</x:f>
        <x:v>OK</x:v>
      </x:c>
    </x:row>
    <x:row r="76">
      <x:c r="A76" s="33" t="str">
        <x:f>IF(OR(B76="",D76=""),"",B76&amp;"-"&amp;IF(OR(C76="",C76="-"),"X",UPPER(C76))&amp;"-"&amp;TEXT(D76,"00"))</x:f>
        <x:v>PB-DOI-NAM45-D-01</x:v>
      </x:c>
      <x:c r="B76" s="26" t="str">
        <x:v>PB-DOI-NAM45</x:v>
      </x:c>
      <x:c r="C76" s="26" t="str">
        <x:v>D</x:v>
      </x:c>
      <x:c r="D76" s="35" t="n">
        <x:v>1</x:v>
      </x:c>
      <x:c r="E76" s="28" t="str"/>
      <x:c r="F76" s="28" t="str"/>
      <x:c r="G76" s="28" t="str"/>
      <x:c r="H76" s="28" t="str"/>
      <x:c r="I76" s="28" t="str"/>
      <x:c r="J76" s="28" t="str"/>
      <x:c r="K76" s="28" t="str">
        <x:v>PDF scan: điền tên theo danh sách gốc</x:v>
      </x:c>
      <x:c r="L76" s="33" t="n">
        <x:v>13</x:v>
      </x:c>
      <x:c r="M76" s="33" t="str">
        <x:f>IF(E76="","CHỜ NHẬP","ĐÃ CÓ DỮ LIỆU")</x:f>
        <x:v>CHỜ NHẬP</x:v>
      </x:c>
      <x:c r="N76" s="33" t="str">
        <x:f>IF(AND(B76="",E76=""),"",IF(A76="","THIẾU ID",IF(COUNTIF($A$8:$A$193,A76)&gt;1,"TRÙNG ID",IF(COUNTIF(HANG_MUC!$A$6:$A$50,B76)=0,"SAI HẠNG MỤC","OK"))))</x:f>
        <x:v>OK</x:v>
      </x:c>
    </x:row>
    <x:row r="77">
      <x:c r="A77" s="33" t="str">
        <x:f>IF(OR(B77="",D77=""),"",B77&amp;"-"&amp;IF(OR(C77="",C77="-"),"X",UPPER(C77))&amp;"-"&amp;TEXT(D77,"00"))</x:f>
        <x:v>PB-DOI-NAM45-D-02</x:v>
      </x:c>
      <x:c r="B77" s="26" t="str">
        <x:v>PB-DOI-NAM45</x:v>
      </x:c>
      <x:c r="C77" s="26" t="str">
        <x:v>D</x:v>
      </x:c>
      <x:c r="D77" s="35" t="n">
        <x:v>2</x:v>
      </x:c>
      <x:c r="E77" s="28" t="str"/>
      <x:c r="F77" s="28" t="str"/>
      <x:c r="G77" s="28" t="str"/>
      <x:c r="H77" s="28" t="str"/>
      <x:c r="I77" s="28" t="str"/>
      <x:c r="J77" s="28" t="str"/>
      <x:c r="K77" s="28" t="str">
        <x:v>PDF scan: điền tên theo danh sách gốc</x:v>
      </x:c>
      <x:c r="L77" s="33" t="n">
        <x:v>13</x:v>
      </x:c>
      <x:c r="M77" s="33" t="str">
        <x:f>IF(E77="","CHỜ NHẬP","ĐÃ CÓ DỮ LIỆU")</x:f>
        <x:v>CHỜ NHẬP</x:v>
      </x:c>
      <x:c r="N77" s="33" t="str">
        <x:f>IF(AND(B77="",E77=""),"",IF(A77="","THIẾU ID",IF(COUNTIF($A$8:$A$193,A77)&gt;1,"TRÙNG ID",IF(COUNTIF(HANG_MUC!$A$6:$A$50,B77)=0,"SAI HẠNG MỤC","OK"))))</x:f>
        <x:v>OK</x:v>
      </x:c>
    </x:row>
    <x:row r="78">
      <x:c r="A78" s="33" t="str">
        <x:f>IF(OR(B78="",D78=""),"",B78&amp;"-"&amp;IF(OR(C78="",C78="-"),"X",UPPER(C78))&amp;"-"&amp;TEXT(D78,"00"))</x:f>
        <x:v>PB-DOI-NAM45-D-03</x:v>
      </x:c>
      <x:c r="B78" s="26" t="str">
        <x:v>PB-DOI-NAM45</x:v>
      </x:c>
      <x:c r="C78" s="26" t="str">
        <x:v>D</x:v>
      </x:c>
      <x:c r="D78" s="35" t="n">
        <x:v>3</x:v>
      </x:c>
      <x:c r="E78" s="28" t="str"/>
      <x:c r="F78" s="28" t="str"/>
      <x:c r="G78" s="28" t="str"/>
      <x:c r="H78" s="28" t="str"/>
      <x:c r="I78" s="28" t="str"/>
      <x:c r="J78" s="28" t="str"/>
      <x:c r="K78" s="28" t="str">
        <x:v>PDF scan: điền tên theo danh sách gốc</x:v>
      </x:c>
      <x:c r="L78" s="33" t="n">
        <x:v>13</x:v>
      </x:c>
      <x:c r="M78" s="33" t="str">
        <x:f>IF(E78="","CHỜ NHẬP","ĐÃ CÓ DỮ LIỆU")</x:f>
        <x:v>CHỜ NHẬP</x:v>
      </x:c>
      <x:c r="N78" s="33" t="str">
        <x:f>IF(AND(B78="",E78=""),"",IF(A78="","THIẾU ID",IF(COUNTIF($A$8:$A$193,A78)&gt;1,"TRÙNG ID",IF(COUNTIF(HANG_MUC!$A$6:$A$50,B78)=0,"SAI HẠNG MỤC","OK"))))</x:f>
        <x:v>OK</x:v>
      </x:c>
    </x:row>
    <x:row r="79">
      <x:c r="A79" s="33" t="str">
        <x:f>IF(OR(B79="",D79=""),"",B79&amp;"-"&amp;IF(OR(C79="",C79="-"),"X",UPPER(C79))&amp;"-"&amp;TEXT(D79,"00"))</x:f>
        <x:v>PB-DOI-NAM45-D-04</x:v>
      </x:c>
      <x:c r="B79" s="26" t="str">
        <x:v>PB-DOI-NAM45</x:v>
      </x:c>
      <x:c r="C79" s="26" t="str">
        <x:v>D</x:v>
      </x:c>
      <x:c r="D79" s="35" t="n">
        <x:v>4</x:v>
      </x:c>
      <x:c r="E79" s="28" t="str"/>
      <x:c r="F79" s="28" t="str"/>
      <x:c r="G79" s="28" t="str"/>
      <x:c r="H79" s="28" t="str"/>
      <x:c r="I79" s="28" t="str"/>
      <x:c r="J79" s="28" t="str"/>
      <x:c r="K79" s="28" t="str">
        <x:v>PDF scan: điền tên theo danh sách gốc</x:v>
      </x:c>
      <x:c r="L79" s="33" t="n">
        <x:v>13</x:v>
      </x:c>
      <x:c r="M79" s="33" t="str">
        <x:f>IF(E79="","CHỜ NHẬP","ĐÃ CÓ DỮ LIỆU")</x:f>
        <x:v>CHỜ NHẬP</x:v>
      </x:c>
      <x:c r="N79" s="33" t="str">
        <x:f>IF(AND(B79="",E79=""),"",IF(A79="","THIẾU ID",IF(COUNTIF($A$8:$A$193,A79)&gt;1,"TRÙNG ID",IF(COUNTIF(HANG_MUC!$A$6:$A$50,B79)=0,"SAI HẠNG MỤC","OK"))))</x:f>
        <x:v>OK</x:v>
      </x:c>
    </x:row>
    <x:row r="80">
      <x:c r="A80" s="33" t="str">
        <x:f>IF(OR(B80="",D80=""),"",B80&amp;"-"&amp;IF(OR(C80="",C80="-"),"X",UPPER(C80))&amp;"-"&amp;TEXT(D80,"00"))</x:f>
        <x:v>PB-DOI-NAM45-E-01</x:v>
      </x:c>
      <x:c r="B80" s="26" t="str">
        <x:v>PB-DOI-NAM45</x:v>
      </x:c>
      <x:c r="C80" s="26" t="str">
        <x:v>E</x:v>
      </x:c>
      <x:c r="D80" s="35" t="n">
        <x:v>1</x:v>
      </x:c>
      <x:c r="E80" s="28" t="str"/>
      <x:c r="F80" s="28" t="str"/>
      <x:c r="G80" s="28" t="str"/>
      <x:c r="H80" s="28" t="str"/>
      <x:c r="I80" s="28" t="str"/>
      <x:c r="J80" s="28" t="str"/>
      <x:c r="K80" s="28" t="str">
        <x:v>PDF scan: điền tên theo danh sách gốc</x:v>
      </x:c>
      <x:c r="L80" s="33" t="n">
        <x:v>13</x:v>
      </x:c>
      <x:c r="M80" s="33" t="str">
        <x:f>IF(E80="","CHỜ NHẬP","ĐÃ CÓ DỮ LIỆU")</x:f>
        <x:v>CHỜ NHẬP</x:v>
      </x:c>
      <x:c r="N80" s="33" t="str">
        <x:f>IF(AND(B80="",E80=""),"",IF(A80="","THIẾU ID",IF(COUNTIF($A$8:$A$193,A80)&gt;1,"TRÙNG ID",IF(COUNTIF(HANG_MUC!$A$6:$A$50,B80)=0,"SAI HẠNG MỤC","OK"))))</x:f>
        <x:v>OK</x:v>
      </x:c>
    </x:row>
    <x:row r="81">
      <x:c r="A81" s="33" t="str">
        <x:f>IF(OR(B81="",D81=""),"",B81&amp;"-"&amp;IF(OR(C81="",C81="-"),"X",UPPER(C81))&amp;"-"&amp;TEXT(D81,"00"))</x:f>
        <x:v>PB-DOI-NAM45-E-02</x:v>
      </x:c>
      <x:c r="B81" s="26" t="str">
        <x:v>PB-DOI-NAM45</x:v>
      </x:c>
      <x:c r="C81" s="26" t="str">
        <x:v>E</x:v>
      </x:c>
      <x:c r="D81" s="35" t="n">
        <x:v>2</x:v>
      </x:c>
      <x:c r="E81" s="28" t="str"/>
      <x:c r="F81" s="28" t="str"/>
      <x:c r="G81" s="28" t="str"/>
      <x:c r="H81" s="28" t="str"/>
      <x:c r="I81" s="28" t="str"/>
      <x:c r="J81" s="28" t="str"/>
      <x:c r="K81" s="28" t="str">
        <x:v>PDF scan: điền tên theo danh sách gốc</x:v>
      </x:c>
      <x:c r="L81" s="33" t="n">
        <x:v>13</x:v>
      </x:c>
      <x:c r="M81" s="33" t="str">
        <x:f>IF(E81="","CHỜ NHẬP","ĐÃ CÓ DỮ LIỆU")</x:f>
        <x:v>CHỜ NHẬP</x:v>
      </x:c>
      <x:c r="N81" s="33" t="str">
        <x:f>IF(AND(B81="",E81=""),"",IF(A81="","THIẾU ID",IF(COUNTIF($A$8:$A$193,A81)&gt;1,"TRÙNG ID",IF(COUNTIF(HANG_MUC!$A$6:$A$50,B81)=0,"SAI HẠNG MỤC","OK"))))</x:f>
        <x:v>OK</x:v>
      </x:c>
    </x:row>
    <x:row r="82">
      <x:c r="A82" s="33" t="str">
        <x:f>IF(OR(B82="",D82=""),"",B82&amp;"-"&amp;IF(OR(C82="",C82="-"),"X",UPPER(C82))&amp;"-"&amp;TEXT(D82,"00"))</x:f>
        <x:v>PB-DOI-NAM45-E-03</x:v>
      </x:c>
      <x:c r="B82" s="26" t="str">
        <x:v>PB-DOI-NAM45</x:v>
      </x:c>
      <x:c r="C82" s="26" t="str">
        <x:v>E</x:v>
      </x:c>
      <x:c r="D82" s="35" t="n">
        <x:v>3</x:v>
      </x:c>
      <x:c r="E82" s="28" t="str"/>
      <x:c r="F82" s="28" t="str"/>
      <x:c r="G82" s="28" t="str"/>
      <x:c r="H82" s="28" t="str"/>
      <x:c r="I82" s="28" t="str"/>
      <x:c r="J82" s="28" t="str"/>
      <x:c r="K82" s="28" t="str">
        <x:v>PDF scan: điền tên theo danh sách gốc</x:v>
      </x:c>
      <x:c r="L82" s="33" t="n">
        <x:v>13</x:v>
      </x:c>
      <x:c r="M82" s="33" t="str">
        <x:f>IF(E82="","CHỜ NHẬP","ĐÃ CÓ DỮ LIỆU")</x:f>
        <x:v>CHỜ NHẬP</x:v>
      </x:c>
      <x:c r="N82" s="33" t="str">
        <x:f>IF(AND(B82="",E82=""),"",IF(A82="","THIẾU ID",IF(COUNTIF($A$8:$A$193,A82)&gt;1,"TRÙNG ID",IF(COUNTIF(HANG_MUC!$A$6:$A$50,B82)=0,"SAI HẠNG MỤC","OK"))))</x:f>
        <x:v>OK</x:v>
      </x:c>
    </x:row>
    <x:row r="83">
      <x:c r="A83" s="33" t="str">
        <x:f>IF(OR(B83="",D83=""),"",B83&amp;"-"&amp;IF(OR(C83="",C83="-"),"X",UPPER(C83))&amp;"-"&amp;TEXT(D83,"00"))</x:f>
        <x:v>PB-DOI-NAM45-E-04</x:v>
      </x:c>
      <x:c r="B83" s="26" t="str">
        <x:v>PB-DOI-NAM45</x:v>
      </x:c>
      <x:c r="C83" s="26" t="str">
        <x:v>E</x:v>
      </x:c>
      <x:c r="D83" s="35" t="n">
        <x:v>4</x:v>
      </x:c>
      <x:c r="E83" s="28" t="str"/>
      <x:c r="F83" s="28" t="str"/>
      <x:c r="G83" s="28" t="str"/>
      <x:c r="H83" s="28" t="str"/>
      <x:c r="I83" s="28" t="str"/>
      <x:c r="J83" s="28" t="str"/>
      <x:c r="K83" s="28" t="str">
        <x:v>PDF scan: điền tên theo danh sách gốc</x:v>
      </x:c>
      <x:c r="L83" s="33" t="n">
        <x:v>13</x:v>
      </x:c>
      <x:c r="M83" s="33" t="str">
        <x:f>IF(E83="","CHỜ NHẬP","ĐÃ CÓ DỮ LIỆU")</x:f>
        <x:v>CHỜ NHẬP</x:v>
      </x:c>
      <x:c r="N83" s="33" t="str">
        <x:f>IF(AND(B83="",E83=""),"",IF(A83="","THIẾU ID",IF(COUNTIF($A$8:$A$193,A83)&gt;1,"TRÙNG ID",IF(COUNTIF(HANG_MUC!$A$6:$A$50,B83)=0,"SAI HẠNG MỤC","OK"))))</x:f>
        <x:v>OK</x:v>
      </x:c>
    </x:row>
    <x:row r="84">
      <x:c r="A84" s="33" t="str">
        <x:f>IF(OR(B84="",D84=""),"",B84&amp;"-"&amp;IF(OR(C84="",C84="-"),"X",UPPER(C84))&amp;"-"&amp;TEXT(D84,"00"))</x:f>
        <x:v>PB-DOI-NAM45-F-01</x:v>
      </x:c>
      <x:c r="B84" s="26" t="str">
        <x:v>PB-DOI-NAM45</x:v>
      </x:c>
      <x:c r="C84" s="26" t="str">
        <x:v>F</x:v>
      </x:c>
      <x:c r="D84" s="35" t="n">
        <x:v>1</x:v>
      </x:c>
      <x:c r="E84" s="28" t="str"/>
      <x:c r="F84" s="28" t="str"/>
      <x:c r="G84" s="28" t="str"/>
      <x:c r="H84" s="28" t="str"/>
      <x:c r="I84" s="28" t="str"/>
      <x:c r="J84" s="28" t="str"/>
      <x:c r="K84" s="28" t="str">
        <x:v>PDF scan: điền tên theo danh sách gốc</x:v>
      </x:c>
      <x:c r="L84" s="33" t="n">
        <x:v>13</x:v>
      </x:c>
      <x:c r="M84" s="33" t="str">
        <x:f>IF(E84="","CHỜ NHẬP","ĐÃ CÓ DỮ LIỆU")</x:f>
        <x:v>CHỜ NHẬP</x:v>
      </x:c>
      <x:c r="N84" s="33" t="str">
        <x:f>IF(AND(B84="",E84=""),"",IF(A84="","THIẾU ID",IF(COUNTIF($A$8:$A$193,A84)&gt;1,"TRÙNG ID",IF(COUNTIF(HANG_MUC!$A$6:$A$50,B84)=0,"SAI HẠNG MỤC","OK"))))</x:f>
        <x:v>OK</x:v>
      </x:c>
    </x:row>
    <x:row r="85">
      <x:c r="A85" s="33" t="str">
        <x:f>IF(OR(B85="",D85=""),"",B85&amp;"-"&amp;IF(OR(C85="",C85="-"),"X",UPPER(C85))&amp;"-"&amp;TEXT(D85,"00"))</x:f>
        <x:v>PB-DOI-NAM45-F-02</x:v>
      </x:c>
      <x:c r="B85" s="26" t="str">
        <x:v>PB-DOI-NAM45</x:v>
      </x:c>
      <x:c r="C85" s="26" t="str">
        <x:v>F</x:v>
      </x:c>
      <x:c r="D85" s="35" t="n">
        <x:v>2</x:v>
      </x:c>
      <x:c r="E85" s="28" t="str"/>
      <x:c r="F85" s="28" t="str"/>
      <x:c r="G85" s="28" t="str"/>
      <x:c r="H85" s="28" t="str"/>
      <x:c r="I85" s="28" t="str"/>
      <x:c r="J85" s="28" t="str"/>
      <x:c r="K85" s="28" t="str">
        <x:v>PDF scan: điền tên theo danh sách gốc</x:v>
      </x:c>
      <x:c r="L85" s="33" t="n">
        <x:v>13</x:v>
      </x:c>
      <x:c r="M85" s="33" t="str">
        <x:f>IF(E85="","CHỜ NHẬP","ĐÃ CÓ DỮ LIỆU")</x:f>
        <x:v>CHỜ NHẬP</x:v>
      </x:c>
      <x:c r="N85" s="33" t="str">
        <x:f>IF(AND(B85="",E85=""),"",IF(A85="","THIẾU ID",IF(COUNTIF($A$8:$A$193,A85)&gt;1,"TRÙNG ID",IF(COUNTIF(HANG_MUC!$A$6:$A$50,B85)=0,"SAI HẠNG MỤC","OK"))))</x:f>
        <x:v>OK</x:v>
      </x:c>
    </x:row>
    <x:row r="86">
      <x:c r="A86" s="33" t="str">
        <x:f>IF(OR(B86="",D86=""),"",B86&amp;"-"&amp;IF(OR(C86="",C86="-"),"X",UPPER(C86))&amp;"-"&amp;TEXT(D86,"00"))</x:f>
        <x:v>PB-DOI-NAM45-F-03</x:v>
      </x:c>
      <x:c r="B86" s="26" t="str">
        <x:v>PB-DOI-NAM45</x:v>
      </x:c>
      <x:c r="C86" s="26" t="str">
        <x:v>F</x:v>
      </x:c>
      <x:c r="D86" s="35" t="n">
        <x:v>3</x:v>
      </x:c>
      <x:c r="E86" s="28" t="str"/>
      <x:c r="F86" s="28" t="str"/>
      <x:c r="G86" s="28" t="str"/>
      <x:c r="H86" s="28" t="str"/>
      <x:c r="I86" s="28" t="str"/>
      <x:c r="J86" s="28" t="str"/>
      <x:c r="K86" s="28" t="str">
        <x:v>PDF scan: điền tên theo danh sách gốc</x:v>
      </x:c>
      <x:c r="L86" s="33" t="n">
        <x:v>13</x:v>
      </x:c>
      <x:c r="M86" s="33" t="str">
        <x:f>IF(E86="","CHỜ NHẬP","ĐÃ CÓ DỮ LIỆU")</x:f>
        <x:v>CHỜ NHẬP</x:v>
      </x:c>
      <x:c r="N86" s="33" t="str">
        <x:f>IF(AND(B86="",E86=""),"",IF(A86="","THIẾU ID",IF(COUNTIF($A$8:$A$193,A86)&gt;1,"TRÙNG ID",IF(COUNTIF(HANG_MUC!$A$6:$A$50,B86)=0,"SAI HẠNG MỤC","OK"))))</x:f>
        <x:v>OK</x:v>
      </x:c>
    </x:row>
    <x:row r="87">
      <x:c r="A87" s="33" t="str">
        <x:f>IF(OR(B87="",D87=""),"",B87&amp;"-"&amp;IF(OR(C87="",C87="-"),"X",UPPER(C87))&amp;"-"&amp;TEXT(D87,"00"))</x:f>
        <x:v>PB-DOI-NAM45-F-04</x:v>
      </x:c>
      <x:c r="B87" s="26" t="str">
        <x:v>PB-DOI-NAM45</x:v>
      </x:c>
      <x:c r="C87" s="26" t="str">
        <x:v>F</x:v>
      </x:c>
      <x:c r="D87" s="35" t="n">
        <x:v>4</x:v>
      </x:c>
      <x:c r="E87" s="28" t="str"/>
      <x:c r="F87" s="28" t="str"/>
      <x:c r="G87" s="28" t="str"/>
      <x:c r="H87" s="28" t="str"/>
      <x:c r="I87" s="28" t="str"/>
      <x:c r="J87" s="28" t="str"/>
      <x:c r="K87" s="28" t="str">
        <x:v>PDF scan: điền tên theo danh sách gốc</x:v>
      </x:c>
      <x:c r="L87" s="33" t="n">
        <x:v>13</x:v>
      </x:c>
      <x:c r="M87" s="33" t="str">
        <x:f>IF(E87="","CHỜ NHẬP","ĐÃ CÓ DỮ LIỆU")</x:f>
        <x:v>CHỜ NHẬP</x:v>
      </x:c>
      <x:c r="N87" s="33" t="str">
        <x:f>IF(AND(B87="",E87=""),"",IF(A87="","THIẾU ID",IF(COUNTIF($A$8:$A$193,A87)&gt;1,"TRÙNG ID",IF(COUNTIF(HANG_MUC!$A$6:$A$50,B87)=0,"SAI HẠNG MỤC","OK"))))</x:f>
        <x:v>OK</x:v>
      </x:c>
    </x:row>
    <x:row r="88">
      <x:c r="A88" s="33" t="str">
        <x:f>IF(OR(B88="",D88=""),"",B88&amp;"-"&amp;IF(OR(C88="",C88="-"),"X",UPPER(C88))&amp;"-"&amp;TEXT(D88,"00"))</x:f>
        <x:v>PB-DOI-NAM45-G-01</x:v>
      </x:c>
      <x:c r="B88" s="26" t="str">
        <x:v>PB-DOI-NAM45</x:v>
      </x:c>
      <x:c r="C88" s="26" t="str">
        <x:v>G</x:v>
      </x:c>
      <x:c r="D88" s="35" t="n">
        <x:v>1</x:v>
      </x:c>
      <x:c r="E88" s="28" t="str"/>
      <x:c r="F88" s="28" t="str"/>
      <x:c r="G88" s="28" t="str"/>
      <x:c r="H88" s="28" t="str"/>
      <x:c r="I88" s="28" t="str"/>
      <x:c r="J88" s="28" t="str"/>
      <x:c r="K88" s="28" t="str">
        <x:v>PDF scan: điền tên theo danh sách gốc</x:v>
      </x:c>
      <x:c r="L88" s="33" t="n">
        <x:v>13</x:v>
      </x:c>
      <x:c r="M88" s="33" t="str">
        <x:f>IF(E88="","CHỜ NHẬP","ĐÃ CÓ DỮ LIỆU")</x:f>
        <x:v>CHỜ NHẬP</x:v>
      </x:c>
      <x:c r="N88" s="33" t="str">
        <x:f>IF(AND(B88="",E88=""),"",IF(A88="","THIẾU ID",IF(COUNTIF($A$8:$A$193,A88)&gt;1,"TRÙNG ID",IF(COUNTIF(HANG_MUC!$A$6:$A$50,B88)=0,"SAI HẠNG MỤC","OK"))))</x:f>
        <x:v>OK</x:v>
      </x:c>
    </x:row>
    <x:row r="89">
      <x:c r="A89" s="33" t="str">
        <x:f>IF(OR(B89="",D89=""),"",B89&amp;"-"&amp;IF(OR(C89="",C89="-"),"X",UPPER(C89))&amp;"-"&amp;TEXT(D89,"00"))</x:f>
        <x:v>PB-DOI-NAM45-G-02</x:v>
      </x:c>
      <x:c r="B89" s="26" t="str">
        <x:v>PB-DOI-NAM45</x:v>
      </x:c>
      <x:c r="C89" s="26" t="str">
        <x:v>G</x:v>
      </x:c>
      <x:c r="D89" s="35" t="n">
        <x:v>2</x:v>
      </x:c>
      <x:c r="E89" s="28" t="str"/>
      <x:c r="F89" s="28" t="str"/>
      <x:c r="G89" s="28" t="str"/>
      <x:c r="H89" s="28" t="str"/>
      <x:c r="I89" s="28" t="str"/>
      <x:c r="J89" s="28" t="str"/>
      <x:c r="K89" s="28" t="str">
        <x:v>PDF scan: điền tên theo danh sách gốc</x:v>
      </x:c>
      <x:c r="L89" s="33" t="n">
        <x:v>13</x:v>
      </x:c>
      <x:c r="M89" s="33" t="str">
        <x:f>IF(E89="","CHỜ NHẬP","ĐÃ CÓ DỮ LIỆU")</x:f>
        <x:v>CHỜ NHẬP</x:v>
      </x:c>
      <x:c r="N89" s="33" t="str">
        <x:f>IF(AND(B89="",E89=""),"",IF(A89="","THIẾU ID",IF(COUNTIF($A$8:$A$193,A89)&gt;1,"TRÙNG ID",IF(COUNTIF(HANG_MUC!$A$6:$A$50,B89)=0,"SAI HẠNG MỤC","OK"))))</x:f>
        <x:v>OK</x:v>
      </x:c>
    </x:row>
    <x:row r="90">
      <x:c r="A90" s="33" t="str">
        <x:f>IF(OR(B90="",D90=""),"",B90&amp;"-"&amp;IF(OR(C90="",C90="-"),"X",UPPER(C90))&amp;"-"&amp;TEXT(D90,"00"))</x:f>
        <x:v>PB-DOI-NAM45-G-03</x:v>
      </x:c>
      <x:c r="B90" s="26" t="str">
        <x:v>PB-DOI-NAM45</x:v>
      </x:c>
      <x:c r="C90" s="26" t="str">
        <x:v>G</x:v>
      </x:c>
      <x:c r="D90" s="35" t="n">
        <x:v>3</x:v>
      </x:c>
      <x:c r="E90" s="28" t="str"/>
      <x:c r="F90" s="28" t="str"/>
      <x:c r="G90" s="28" t="str"/>
      <x:c r="H90" s="28" t="str"/>
      <x:c r="I90" s="28" t="str"/>
      <x:c r="J90" s="28" t="str"/>
      <x:c r="K90" s="28" t="str">
        <x:v>PDF scan: điền tên theo danh sách gốc</x:v>
      </x:c>
      <x:c r="L90" s="33" t="n">
        <x:v>13</x:v>
      </x:c>
      <x:c r="M90" s="33" t="str">
        <x:f>IF(E90="","CHỜ NHẬP","ĐÃ CÓ DỮ LIỆU")</x:f>
        <x:v>CHỜ NHẬP</x:v>
      </x:c>
      <x:c r="N90" s="33" t="str">
        <x:f>IF(AND(B90="",E90=""),"",IF(A90="","THIẾU ID",IF(COUNTIF($A$8:$A$193,A90)&gt;1,"TRÙNG ID",IF(COUNTIF(HANG_MUC!$A$6:$A$50,B90)=0,"SAI HẠNG MỤC","OK"))))</x:f>
        <x:v>OK</x:v>
      </x:c>
    </x:row>
    <x:row r="91">
      <x:c r="A91" s="33" t="str">
        <x:f>IF(OR(B91="",D91=""),"",B91&amp;"-"&amp;IF(OR(C91="",C91="-"),"X",UPPER(C91))&amp;"-"&amp;TEXT(D91,"00"))</x:f>
        <x:v>PB-DOI-NAM45-G-04</x:v>
      </x:c>
      <x:c r="B91" s="26" t="str">
        <x:v>PB-DOI-NAM45</x:v>
      </x:c>
      <x:c r="C91" s="26" t="str">
        <x:v>G</x:v>
      </x:c>
      <x:c r="D91" s="35" t="n">
        <x:v>4</x:v>
      </x:c>
      <x:c r="E91" s="28" t="str"/>
      <x:c r="F91" s="28" t="str"/>
      <x:c r="G91" s="28" t="str"/>
      <x:c r="H91" s="28" t="str"/>
      <x:c r="I91" s="28" t="str"/>
      <x:c r="J91" s="28" t="str"/>
      <x:c r="K91" s="28" t="str">
        <x:v>PDF scan: điền tên theo danh sách gốc</x:v>
      </x:c>
      <x:c r="L91" s="33" t="n">
        <x:v>13</x:v>
      </x:c>
      <x:c r="M91" s="33" t="str">
        <x:f>IF(E91="","CHỜ NHẬP","ĐÃ CÓ DỮ LIỆU")</x:f>
        <x:v>CHỜ NHẬP</x:v>
      </x:c>
      <x:c r="N91" s="33" t="str">
        <x:f>IF(AND(B91="",E91=""),"",IF(A91="","THIẾU ID",IF(COUNTIF($A$8:$A$193,A91)&gt;1,"TRÙNG ID",IF(COUNTIF(HANG_MUC!$A$6:$A$50,B91)=0,"SAI HẠNG MỤC","OK"))))</x:f>
        <x:v>OK</x:v>
      </x:c>
    </x:row>
    <x:row r="92">
      <x:c r="A92" s="33" t="str">
        <x:f>IF(OR(B92="",D92=""),"",B92&amp;"-"&amp;IF(OR(C92="",C92="-"),"X",UPPER(C92))&amp;"-"&amp;TEXT(D92,"00"))</x:f>
        <x:v>PB-DOI-NAM45-H-01</x:v>
      </x:c>
      <x:c r="B92" s="26" t="str">
        <x:v>PB-DOI-NAM45</x:v>
      </x:c>
      <x:c r="C92" s="26" t="str">
        <x:v>H</x:v>
      </x:c>
      <x:c r="D92" s="35" t="n">
        <x:v>1</x:v>
      </x:c>
      <x:c r="E92" s="28" t="str"/>
      <x:c r="F92" s="28" t="str"/>
      <x:c r="G92" s="28" t="str"/>
      <x:c r="H92" s="28" t="str"/>
      <x:c r="I92" s="28" t="str"/>
      <x:c r="J92" s="28" t="str"/>
      <x:c r="K92" s="28" t="str">
        <x:v>PDF scan: điền tên theo danh sách gốc</x:v>
      </x:c>
      <x:c r="L92" s="33" t="n">
        <x:v>13</x:v>
      </x:c>
      <x:c r="M92" s="33" t="str">
        <x:f>IF(E92="","CHỜ NHẬP","ĐÃ CÓ DỮ LIỆU")</x:f>
        <x:v>CHỜ NHẬP</x:v>
      </x:c>
      <x:c r="N92" s="33" t="str">
        <x:f>IF(AND(B92="",E92=""),"",IF(A92="","THIẾU ID",IF(COUNTIF($A$8:$A$193,A92)&gt;1,"TRÙNG ID",IF(COUNTIF(HANG_MUC!$A$6:$A$50,B92)=0,"SAI HẠNG MỤC","OK"))))</x:f>
        <x:v>OK</x:v>
      </x:c>
    </x:row>
    <x:row r="93">
      <x:c r="A93" s="33" t="str">
        <x:f>IF(OR(B93="",D93=""),"",B93&amp;"-"&amp;IF(OR(C93="",C93="-"),"X",UPPER(C93))&amp;"-"&amp;TEXT(D93,"00"))</x:f>
        <x:v>PB-DOI-NAM45-H-02</x:v>
      </x:c>
      <x:c r="B93" s="26" t="str">
        <x:v>PB-DOI-NAM45</x:v>
      </x:c>
      <x:c r="C93" s="26" t="str">
        <x:v>H</x:v>
      </x:c>
      <x:c r="D93" s="35" t="n">
        <x:v>2</x:v>
      </x:c>
      <x:c r="E93" s="28" t="str"/>
      <x:c r="F93" s="28" t="str"/>
      <x:c r="G93" s="28" t="str"/>
      <x:c r="H93" s="28" t="str"/>
      <x:c r="I93" s="28" t="str"/>
      <x:c r="J93" s="28" t="str"/>
      <x:c r="K93" s="28" t="str">
        <x:v>PDF scan: điền tên theo danh sách gốc</x:v>
      </x:c>
      <x:c r="L93" s="33" t="n">
        <x:v>13</x:v>
      </x:c>
      <x:c r="M93" s="33" t="str">
        <x:f>IF(E93="","CHỜ NHẬP","ĐÃ CÓ DỮ LIỆU")</x:f>
        <x:v>CHỜ NHẬP</x:v>
      </x:c>
      <x:c r="N93" s="33" t="str">
        <x:f>IF(AND(B93="",E93=""),"",IF(A93="","THIẾU ID",IF(COUNTIF($A$8:$A$193,A93)&gt;1,"TRÙNG ID",IF(COUNTIF(HANG_MUC!$A$6:$A$50,B93)=0,"SAI HẠNG MỤC","OK"))))</x:f>
        <x:v>OK</x:v>
      </x:c>
    </x:row>
    <x:row r="94">
      <x:c r="A94" s="33" t="str">
        <x:f>IF(OR(B94="",D94=""),"",B94&amp;"-"&amp;IF(OR(C94="",C94="-"),"X",UPPER(C94))&amp;"-"&amp;TEXT(D94,"00"))</x:f>
        <x:v>PB-DOI-NAM45-H-03</x:v>
      </x:c>
      <x:c r="B94" s="26" t="str">
        <x:v>PB-DOI-NAM45</x:v>
      </x:c>
      <x:c r="C94" s="26" t="str">
        <x:v>H</x:v>
      </x:c>
      <x:c r="D94" s="35" t="n">
        <x:v>3</x:v>
      </x:c>
      <x:c r="E94" s="28" t="str"/>
      <x:c r="F94" s="28" t="str"/>
      <x:c r="G94" s="28" t="str"/>
      <x:c r="H94" s="28" t="str"/>
      <x:c r="I94" s="28" t="str"/>
      <x:c r="J94" s="28" t="str"/>
      <x:c r="K94" s="28" t="str">
        <x:v>PDF scan: điền tên theo danh sách gốc</x:v>
      </x:c>
      <x:c r="L94" s="33" t="n">
        <x:v>13</x:v>
      </x:c>
      <x:c r="M94" s="33" t="str">
        <x:f>IF(E94="","CHỜ NHẬP","ĐÃ CÓ DỮ LIỆU")</x:f>
        <x:v>CHỜ NHẬP</x:v>
      </x:c>
      <x:c r="N94" s="33" t="str">
        <x:f>IF(AND(B94="",E94=""),"",IF(A94="","THIẾU ID",IF(COUNTIF($A$8:$A$193,A94)&gt;1,"TRÙNG ID",IF(COUNTIF(HANG_MUC!$A$6:$A$50,B94)=0,"SAI HẠNG MỤC","OK"))))</x:f>
        <x:v>OK</x:v>
      </x:c>
    </x:row>
    <x:row r="95">
      <x:c r="A95" s="33" t="str">
        <x:f>IF(OR(B95="",D95=""),"",B95&amp;"-"&amp;IF(OR(C95="",C95="-"),"X",UPPER(C95))&amp;"-"&amp;TEXT(D95,"00"))</x:f>
        <x:v>PB-DOI-NAM45-H-04</x:v>
      </x:c>
      <x:c r="B95" s="26" t="str">
        <x:v>PB-DOI-NAM45</x:v>
      </x:c>
      <x:c r="C95" s="26" t="str">
        <x:v>H</x:v>
      </x:c>
      <x:c r="D95" s="35" t="n">
        <x:v>4</x:v>
      </x:c>
      <x:c r="E95" s="28" t="str"/>
      <x:c r="F95" s="28" t="str"/>
      <x:c r="G95" s="28" t="str"/>
      <x:c r="H95" s="28" t="str"/>
      <x:c r="I95" s="28" t="str"/>
      <x:c r="J95" s="28" t="str"/>
      <x:c r="K95" s="28" t="str">
        <x:v>PDF scan: điền tên theo danh sách gốc</x:v>
      </x:c>
      <x:c r="L95" s="33" t="n">
        <x:v>13</x:v>
      </x:c>
      <x:c r="M95" s="33" t="str">
        <x:f>IF(E95="","CHỜ NHẬP","ĐÃ CÓ DỮ LIỆU")</x:f>
        <x:v>CHỜ NHẬP</x:v>
      </x:c>
      <x:c r="N95" s="33" t="str">
        <x:f>IF(AND(B95="",E95=""),"",IF(A95="","THIẾU ID",IF(COUNTIF($A$8:$A$193,A95)&gt;1,"TRÙNG ID",IF(COUNTIF(HANG_MUC!$A$6:$A$50,B95)=0,"SAI HẠNG MỤC","OK"))))</x:f>
        <x:v>OK</x:v>
      </x:c>
    </x:row>
    <x:row r="96">
      <x:c r="A96" s="33" t="str">
        <x:f>IF(OR(B96="",D96=""),"",B96&amp;"-"&amp;IF(OR(C96="",C96="-"),"X",UPPER(C96))&amp;"-"&amp;TEXT(D96,"00"))</x:f>
        <x:v>PB-DOI-NAM45-H-05</x:v>
      </x:c>
      <x:c r="B96" s="26" t="str">
        <x:v>PB-DOI-NAM45</x:v>
      </x:c>
      <x:c r="C96" s="26" t="str">
        <x:v>H</x:v>
      </x:c>
      <x:c r="D96" s="35" t="n">
        <x:v>5</x:v>
      </x:c>
      <x:c r="E96" s="28" t="str"/>
      <x:c r="F96" s="28" t="str"/>
      <x:c r="G96" s="28" t="str"/>
      <x:c r="H96" s="28" t="str"/>
      <x:c r="I96" s="28" t="str"/>
      <x:c r="J96" s="28" t="str"/>
      <x:c r="K96" s="28" t="str">
        <x:v>PDF scan: điền tên theo danh sách gốc</x:v>
      </x:c>
      <x:c r="L96" s="33" t="n">
        <x:v>13</x:v>
      </x:c>
      <x:c r="M96" s="33" t="str">
        <x:f>IF(E96="","CHỜ NHẬP","ĐÃ CÓ DỮ LIỆU")</x:f>
        <x:v>CHỜ NHẬP</x:v>
      </x:c>
      <x:c r="N96" s="33" t="str">
        <x:f>IF(AND(B96="",E96=""),"",IF(A96="","THIẾU ID",IF(COUNTIF($A$8:$A$193,A96)&gt;1,"TRÙNG ID",IF(COUNTIF(HANG_MUC!$A$6:$A$50,B96)=0,"SAI HẠNG MỤC","OK"))))</x:f>
        <x:v>OK</x:v>
      </x:c>
    </x:row>
    <x:row r="97">
      <x:c r="A97" s="33" t="str">
        <x:f>IF(OR(B97="",D97=""),"",B97&amp;"-"&amp;IF(OR(C97="",C97="-"),"X",UPPER(C97))&amp;"-"&amp;TEXT(D97,"00"))</x:f>
        <x:v>PB-DOI-NAM46-A-01</x:v>
      </x:c>
      <x:c r="B97" s="26" t="str">
        <x:v>PB-DOI-NAM46</x:v>
      </x:c>
      <x:c r="C97" s="26" t="str">
        <x:v>A</x:v>
      </x:c>
      <x:c r="D97" s="35" t="n">
        <x:v>1</x:v>
      </x:c>
      <x:c r="E97" s="28" t="str"/>
      <x:c r="F97" s="28" t="str"/>
      <x:c r="G97" s="28" t="str"/>
      <x:c r="H97" s="28" t="str"/>
      <x:c r="I97" s="28" t="str"/>
      <x:c r="J97" s="28" t="str"/>
      <x:c r="K97" s="28" t="str">
        <x:v>PDF scan: điền tên theo danh sách gốc</x:v>
      </x:c>
      <x:c r="L97" s="33" t="n">
        <x:v>18</x:v>
      </x:c>
      <x:c r="M97" s="33" t="str">
        <x:f>IF(E97="","CHỜ NHẬP","ĐÃ CÓ DỮ LIỆU")</x:f>
        <x:v>CHỜ NHẬP</x:v>
      </x:c>
      <x:c r="N97" s="33" t="str">
        <x:f>IF(AND(B97="",E97=""),"",IF(A97="","THIẾU ID",IF(COUNTIF($A$8:$A$193,A97)&gt;1,"TRÙNG ID",IF(COUNTIF(HANG_MUC!$A$6:$A$50,B97)=0,"SAI HẠNG MỤC","OK"))))</x:f>
        <x:v>OK</x:v>
      </x:c>
    </x:row>
    <x:row r="98">
      <x:c r="A98" s="33" t="str">
        <x:f>IF(OR(B98="",D98=""),"",B98&amp;"-"&amp;IF(OR(C98="",C98="-"),"X",UPPER(C98))&amp;"-"&amp;TEXT(D98,"00"))</x:f>
        <x:v>PB-DOI-NAM46-A-02</x:v>
      </x:c>
      <x:c r="B98" s="26" t="str">
        <x:v>PB-DOI-NAM46</x:v>
      </x:c>
      <x:c r="C98" s="26" t="str">
        <x:v>A</x:v>
      </x:c>
      <x:c r="D98" s="35" t="n">
        <x:v>2</x:v>
      </x:c>
      <x:c r="E98" s="28" t="str"/>
      <x:c r="F98" s="28" t="str"/>
      <x:c r="G98" s="28" t="str"/>
      <x:c r="H98" s="28" t="str"/>
      <x:c r="I98" s="28" t="str"/>
      <x:c r="J98" s="28" t="str"/>
      <x:c r="K98" s="28" t="str">
        <x:v>PDF scan: điền tên theo danh sách gốc</x:v>
      </x:c>
      <x:c r="L98" s="33" t="n">
        <x:v>18</x:v>
      </x:c>
      <x:c r="M98" s="33" t="str">
        <x:f>IF(E98="","CHỜ NHẬP","ĐÃ CÓ DỮ LIỆU")</x:f>
        <x:v>CHỜ NHẬP</x:v>
      </x:c>
      <x:c r="N98" s="33" t="str">
        <x:f>IF(AND(B98="",E98=""),"",IF(A98="","THIẾU ID",IF(COUNTIF($A$8:$A$193,A98)&gt;1,"TRÙNG ID",IF(COUNTIF(HANG_MUC!$A$6:$A$50,B98)=0,"SAI HẠNG MỤC","OK"))))</x:f>
        <x:v>OK</x:v>
      </x:c>
    </x:row>
    <x:row r="99">
      <x:c r="A99" s="33" t="str">
        <x:f>IF(OR(B99="",D99=""),"",B99&amp;"-"&amp;IF(OR(C99="",C99="-"),"X",UPPER(C99))&amp;"-"&amp;TEXT(D99,"00"))</x:f>
        <x:v>PB-DOI-NAM46-A-03</x:v>
      </x:c>
      <x:c r="B99" s="26" t="str">
        <x:v>PB-DOI-NAM46</x:v>
      </x:c>
      <x:c r="C99" s="26" t="str">
        <x:v>A</x:v>
      </x:c>
      <x:c r="D99" s="35" t="n">
        <x:v>3</x:v>
      </x:c>
      <x:c r="E99" s="28" t="str"/>
      <x:c r="F99" s="28" t="str"/>
      <x:c r="G99" s="28" t="str"/>
      <x:c r="H99" s="28" t="str"/>
      <x:c r="I99" s="28" t="str"/>
      <x:c r="J99" s="28" t="str"/>
      <x:c r="K99" s="28" t="str">
        <x:v>PDF scan: điền tên theo danh sách gốc</x:v>
      </x:c>
      <x:c r="L99" s="33" t="n">
        <x:v>18</x:v>
      </x:c>
      <x:c r="M99" s="33" t="str">
        <x:f>IF(E99="","CHỜ NHẬP","ĐÃ CÓ DỮ LIỆU")</x:f>
        <x:v>CHỜ NHẬP</x:v>
      </x:c>
      <x:c r="N99" s="33" t="str">
        <x:f>IF(AND(B99="",E99=""),"",IF(A99="","THIẾU ID",IF(COUNTIF($A$8:$A$193,A99)&gt;1,"TRÙNG ID",IF(COUNTIF(HANG_MUC!$A$6:$A$50,B99)=0,"SAI HẠNG MỤC","OK"))))</x:f>
        <x:v>OK</x:v>
      </x:c>
    </x:row>
    <x:row r="100">
      <x:c r="A100" s="33" t="str">
        <x:f>IF(OR(B100="",D100=""),"",B100&amp;"-"&amp;IF(OR(C100="",C100="-"),"X",UPPER(C100))&amp;"-"&amp;TEXT(D100,"00"))</x:f>
        <x:v>PB-DOI-NAM46-B-01</x:v>
      </x:c>
      <x:c r="B100" s="26" t="str">
        <x:v>PB-DOI-NAM46</x:v>
      </x:c>
      <x:c r="C100" s="26" t="str">
        <x:v>B</x:v>
      </x:c>
      <x:c r="D100" s="35" t="n">
        <x:v>1</x:v>
      </x:c>
      <x:c r="E100" s="28" t="str"/>
      <x:c r="F100" s="28" t="str"/>
      <x:c r="G100" s="28" t="str"/>
      <x:c r="H100" s="28" t="str"/>
      <x:c r="I100" s="28" t="str"/>
      <x:c r="J100" s="28" t="str"/>
      <x:c r="K100" s="28" t="str">
        <x:v>PDF scan: điền tên theo danh sách gốc</x:v>
      </x:c>
      <x:c r="L100" s="33" t="n">
        <x:v>18</x:v>
      </x:c>
      <x:c r="M100" s="33" t="str">
        <x:f>IF(E100="","CHỜ NHẬP","ĐÃ CÓ DỮ LIỆU")</x:f>
        <x:v>CHỜ NHẬP</x:v>
      </x:c>
      <x:c r="N100" s="33" t="str">
        <x:f>IF(AND(B100="",E100=""),"",IF(A100="","THIẾU ID",IF(COUNTIF($A$8:$A$193,A100)&gt;1,"TRÙNG ID",IF(COUNTIF(HANG_MUC!$A$6:$A$50,B100)=0,"SAI HẠNG MỤC","OK"))))</x:f>
        <x:v>OK</x:v>
      </x:c>
    </x:row>
    <x:row r="101">
      <x:c r="A101" s="33" t="str">
        <x:f>IF(OR(B101="",D101=""),"",B101&amp;"-"&amp;IF(OR(C101="",C101="-"),"X",UPPER(C101))&amp;"-"&amp;TEXT(D101,"00"))</x:f>
        <x:v>PB-DOI-NAM46-B-02</x:v>
      </x:c>
      <x:c r="B101" s="26" t="str">
        <x:v>PB-DOI-NAM46</x:v>
      </x:c>
      <x:c r="C101" s="26" t="str">
        <x:v>B</x:v>
      </x:c>
      <x:c r="D101" s="35" t="n">
        <x:v>2</x:v>
      </x:c>
      <x:c r="E101" s="28" t="str"/>
      <x:c r="F101" s="28" t="str"/>
      <x:c r="G101" s="28" t="str"/>
      <x:c r="H101" s="28" t="str"/>
      <x:c r="I101" s="28" t="str"/>
      <x:c r="J101" s="28" t="str"/>
      <x:c r="K101" s="28" t="str">
        <x:v>PDF scan: điền tên theo danh sách gốc</x:v>
      </x:c>
      <x:c r="L101" s="33" t="n">
        <x:v>18</x:v>
      </x:c>
      <x:c r="M101" s="33" t="str">
        <x:f>IF(E101="","CHỜ NHẬP","ĐÃ CÓ DỮ LIỆU")</x:f>
        <x:v>CHỜ NHẬP</x:v>
      </x:c>
      <x:c r="N101" s="33" t="str">
        <x:f>IF(AND(B101="",E101=""),"",IF(A101="","THIẾU ID",IF(COUNTIF($A$8:$A$193,A101)&gt;1,"TRÙNG ID",IF(COUNTIF(HANG_MUC!$A$6:$A$50,B101)=0,"SAI HẠNG MỤC","OK"))))</x:f>
        <x:v>OK</x:v>
      </x:c>
    </x:row>
    <x:row r="102">
      <x:c r="A102" s="33" t="str">
        <x:f>IF(OR(B102="",D102=""),"",B102&amp;"-"&amp;IF(OR(C102="",C102="-"),"X",UPPER(C102))&amp;"-"&amp;TEXT(D102,"00"))</x:f>
        <x:v>PB-DOI-NAM46-B-03</x:v>
      </x:c>
      <x:c r="B102" s="26" t="str">
        <x:v>PB-DOI-NAM46</x:v>
      </x:c>
      <x:c r="C102" s="26" t="str">
        <x:v>B</x:v>
      </x:c>
      <x:c r="D102" s="35" t="n">
        <x:v>3</x:v>
      </x:c>
      <x:c r="E102" s="28" t="str"/>
      <x:c r="F102" s="28" t="str"/>
      <x:c r="G102" s="28" t="str"/>
      <x:c r="H102" s="28" t="str"/>
      <x:c r="I102" s="28" t="str"/>
      <x:c r="J102" s="28" t="str"/>
      <x:c r="K102" s="28" t="str">
        <x:v>PDF scan: điền tên theo danh sách gốc</x:v>
      </x:c>
      <x:c r="L102" s="33" t="n">
        <x:v>18</x:v>
      </x:c>
      <x:c r="M102" s="33" t="str">
        <x:f>IF(E102="","CHỜ NHẬP","ĐÃ CÓ DỮ LIỆU")</x:f>
        <x:v>CHỜ NHẬP</x:v>
      </x:c>
      <x:c r="N102" s="33" t="str">
        <x:f>IF(AND(B102="",E102=""),"",IF(A102="","THIẾU ID",IF(COUNTIF($A$8:$A$193,A102)&gt;1,"TRÙNG ID",IF(COUNTIF(HANG_MUC!$A$6:$A$50,B102)=0,"SAI HẠNG MỤC","OK"))))</x:f>
        <x:v>OK</x:v>
      </x:c>
    </x:row>
    <x:row r="103">
      <x:c r="A103" s="33" t="str">
        <x:f>IF(OR(B103="",D103=""),"",B103&amp;"-"&amp;IF(OR(C103="",C103="-"),"X",UPPER(C103))&amp;"-"&amp;TEXT(D103,"00"))</x:f>
        <x:v>PB-DOI-NAM46-C-01</x:v>
      </x:c>
      <x:c r="B103" s="26" t="str">
        <x:v>PB-DOI-NAM46</x:v>
      </x:c>
      <x:c r="C103" s="26" t="str">
        <x:v>C</x:v>
      </x:c>
      <x:c r="D103" s="35" t="n">
        <x:v>1</x:v>
      </x:c>
      <x:c r="E103" s="28" t="str"/>
      <x:c r="F103" s="28" t="str"/>
      <x:c r="G103" s="28" t="str"/>
      <x:c r="H103" s="28" t="str"/>
      <x:c r="I103" s="28" t="str"/>
      <x:c r="J103" s="28" t="str"/>
      <x:c r="K103" s="28" t="str">
        <x:v>PDF scan: điền tên theo danh sách gốc</x:v>
      </x:c>
      <x:c r="L103" s="33" t="n">
        <x:v>18</x:v>
      </x:c>
      <x:c r="M103" s="33" t="str">
        <x:f>IF(E103="","CHỜ NHẬP","ĐÃ CÓ DỮ LIỆU")</x:f>
        <x:v>CHỜ NHẬP</x:v>
      </x:c>
      <x:c r="N103" s="33" t="str">
        <x:f>IF(AND(B103="",E103=""),"",IF(A103="","THIẾU ID",IF(COUNTIF($A$8:$A$193,A103)&gt;1,"TRÙNG ID",IF(COUNTIF(HANG_MUC!$A$6:$A$50,B103)=0,"SAI HẠNG MỤC","OK"))))</x:f>
        <x:v>OK</x:v>
      </x:c>
    </x:row>
    <x:row r="104">
      <x:c r="A104" s="33" t="str">
        <x:f>IF(OR(B104="",D104=""),"",B104&amp;"-"&amp;IF(OR(C104="",C104="-"),"X",UPPER(C104))&amp;"-"&amp;TEXT(D104,"00"))</x:f>
        <x:v>PB-DOI-NAM46-C-02</x:v>
      </x:c>
      <x:c r="B104" s="26" t="str">
        <x:v>PB-DOI-NAM46</x:v>
      </x:c>
      <x:c r="C104" s="26" t="str">
        <x:v>C</x:v>
      </x:c>
      <x:c r="D104" s="35" t="n">
        <x:v>2</x:v>
      </x:c>
      <x:c r="E104" s="28" t="str"/>
      <x:c r="F104" s="28" t="str"/>
      <x:c r="G104" s="28" t="str"/>
      <x:c r="H104" s="28" t="str"/>
      <x:c r="I104" s="28" t="str"/>
      <x:c r="J104" s="28" t="str"/>
      <x:c r="K104" s="28" t="str">
        <x:v>PDF scan: điền tên theo danh sách gốc</x:v>
      </x:c>
      <x:c r="L104" s="33" t="n">
        <x:v>18</x:v>
      </x:c>
      <x:c r="M104" s="33" t="str">
        <x:f>IF(E104="","CHỜ NHẬP","ĐÃ CÓ DỮ LIỆU")</x:f>
        <x:v>CHỜ NHẬP</x:v>
      </x:c>
      <x:c r="N104" s="33" t="str">
        <x:f>IF(AND(B104="",E104=""),"",IF(A104="","THIẾU ID",IF(COUNTIF($A$8:$A$193,A104)&gt;1,"TRÙNG ID",IF(COUNTIF(HANG_MUC!$A$6:$A$50,B104)=0,"SAI HẠNG MỤC","OK"))))</x:f>
        <x:v>OK</x:v>
      </x:c>
    </x:row>
    <x:row r="105">
      <x:c r="A105" s="33" t="str">
        <x:f>IF(OR(B105="",D105=""),"",B105&amp;"-"&amp;IF(OR(C105="",C105="-"),"X",UPPER(C105))&amp;"-"&amp;TEXT(D105,"00"))</x:f>
        <x:v>PB-DOI-NAM46-C-03</x:v>
      </x:c>
      <x:c r="B105" s="26" t="str">
        <x:v>PB-DOI-NAM46</x:v>
      </x:c>
      <x:c r="C105" s="26" t="str">
        <x:v>C</x:v>
      </x:c>
      <x:c r="D105" s="35" t="n">
        <x:v>3</x:v>
      </x:c>
      <x:c r="E105" s="28" t="str"/>
      <x:c r="F105" s="28" t="str"/>
      <x:c r="G105" s="28" t="str"/>
      <x:c r="H105" s="28" t="str"/>
      <x:c r="I105" s="28" t="str"/>
      <x:c r="J105" s="28" t="str"/>
      <x:c r="K105" s="28" t="str">
        <x:v>PDF scan: điền tên theo danh sách gốc</x:v>
      </x:c>
      <x:c r="L105" s="33" t="n">
        <x:v>18</x:v>
      </x:c>
      <x:c r="M105" s="33" t="str">
        <x:f>IF(E105="","CHỜ NHẬP","ĐÃ CÓ DỮ LIỆU")</x:f>
        <x:v>CHỜ NHẬP</x:v>
      </x:c>
      <x:c r="N105" s="33" t="str">
        <x:f>IF(AND(B105="",E105=""),"",IF(A105="","THIẾU ID",IF(COUNTIF($A$8:$A$193,A105)&gt;1,"TRÙNG ID",IF(COUNTIF(HANG_MUC!$A$6:$A$50,B105)=0,"SAI HẠNG MỤC","OK"))))</x:f>
        <x:v>OK</x:v>
      </x:c>
    </x:row>
    <x:row r="106">
      <x:c r="A106" s="33" t="str">
        <x:f>IF(OR(B106="",D106=""),"",B106&amp;"-"&amp;IF(OR(C106="",C106="-"),"X",UPPER(C106))&amp;"-"&amp;TEXT(D106,"00"))</x:f>
        <x:v>PB-DOI-NAM46-D-01</x:v>
      </x:c>
      <x:c r="B106" s="26" t="str">
        <x:v>PB-DOI-NAM46</x:v>
      </x:c>
      <x:c r="C106" s="26" t="str">
        <x:v>D</x:v>
      </x:c>
      <x:c r="D106" s="35" t="n">
        <x:v>1</x:v>
      </x:c>
      <x:c r="E106" s="28" t="str"/>
      <x:c r="F106" s="28" t="str"/>
      <x:c r="G106" s="28" t="str"/>
      <x:c r="H106" s="28" t="str"/>
      <x:c r="I106" s="28" t="str"/>
      <x:c r="J106" s="28" t="str"/>
      <x:c r="K106" s="28" t="str">
        <x:v>PDF scan: điền tên theo danh sách gốc</x:v>
      </x:c>
      <x:c r="L106" s="33" t="n">
        <x:v>18</x:v>
      </x:c>
      <x:c r="M106" s="33" t="str">
        <x:f>IF(E106="","CHỜ NHẬP","ĐÃ CÓ DỮ LIỆU")</x:f>
        <x:v>CHỜ NHẬP</x:v>
      </x:c>
      <x:c r="N106" s="33" t="str">
        <x:f>IF(AND(B106="",E106=""),"",IF(A106="","THIẾU ID",IF(COUNTIF($A$8:$A$193,A106)&gt;1,"TRÙNG ID",IF(COUNTIF(HANG_MUC!$A$6:$A$50,B106)=0,"SAI HẠNG MỤC","OK"))))</x:f>
        <x:v>OK</x:v>
      </x:c>
    </x:row>
    <x:row r="107">
      <x:c r="A107" s="33" t="str">
        <x:f>IF(OR(B107="",D107=""),"",B107&amp;"-"&amp;IF(OR(C107="",C107="-"),"X",UPPER(C107))&amp;"-"&amp;TEXT(D107,"00"))</x:f>
        <x:v>PB-DOI-NAM46-D-02</x:v>
      </x:c>
      <x:c r="B107" s="26" t="str">
        <x:v>PB-DOI-NAM46</x:v>
      </x:c>
      <x:c r="C107" s="26" t="str">
        <x:v>D</x:v>
      </x:c>
      <x:c r="D107" s="35" t="n">
        <x:v>2</x:v>
      </x:c>
      <x:c r="E107" s="28" t="str"/>
      <x:c r="F107" s="28" t="str"/>
      <x:c r="G107" s="28" t="str"/>
      <x:c r="H107" s="28" t="str"/>
      <x:c r="I107" s="28" t="str"/>
      <x:c r="J107" s="28" t="str"/>
      <x:c r="K107" s="28" t="str">
        <x:v>PDF scan: điền tên theo danh sách gốc</x:v>
      </x:c>
      <x:c r="L107" s="33" t="n">
        <x:v>18</x:v>
      </x:c>
      <x:c r="M107" s="33" t="str">
        <x:f>IF(E107="","CHỜ NHẬP","ĐÃ CÓ DỮ LIỆU")</x:f>
        <x:v>CHỜ NHẬP</x:v>
      </x:c>
      <x:c r="N107" s="33" t="str">
        <x:f>IF(AND(B107="",E107=""),"",IF(A107="","THIẾU ID",IF(COUNTIF($A$8:$A$193,A107)&gt;1,"TRÙNG ID",IF(COUNTIF(HANG_MUC!$A$6:$A$50,B107)=0,"SAI HẠNG MỤC","OK"))))</x:f>
        <x:v>OK</x:v>
      </x:c>
    </x:row>
    <x:row r="108">
      <x:c r="A108" s="33" t="str">
        <x:f>IF(OR(B108="",D108=""),"",B108&amp;"-"&amp;IF(OR(C108="",C108="-"),"X",UPPER(C108))&amp;"-"&amp;TEXT(D108,"00"))</x:f>
        <x:v>PB-DOI-NAM46-D-03</x:v>
      </x:c>
      <x:c r="B108" s="26" t="str">
        <x:v>PB-DOI-NAM46</x:v>
      </x:c>
      <x:c r="C108" s="26" t="str">
        <x:v>D</x:v>
      </x:c>
      <x:c r="D108" s="35" t="n">
        <x:v>3</x:v>
      </x:c>
      <x:c r="E108" s="28" t="str"/>
      <x:c r="F108" s="28" t="str"/>
      <x:c r="G108" s="28" t="str"/>
      <x:c r="H108" s="28" t="str"/>
      <x:c r="I108" s="28" t="str"/>
      <x:c r="J108" s="28" t="str"/>
      <x:c r="K108" s="28" t="str">
        <x:v>PDF scan: điền tên theo danh sách gốc</x:v>
      </x:c>
      <x:c r="L108" s="33" t="n">
        <x:v>18</x:v>
      </x:c>
      <x:c r="M108" s="33" t="str">
        <x:f>IF(E108="","CHỜ NHẬP","ĐÃ CÓ DỮ LIỆU")</x:f>
        <x:v>CHỜ NHẬP</x:v>
      </x:c>
      <x:c r="N108" s="33" t="str">
        <x:f>IF(AND(B108="",E108=""),"",IF(A108="","THIẾU ID",IF(COUNTIF($A$8:$A$193,A108)&gt;1,"TRÙNG ID",IF(COUNTIF(HANG_MUC!$A$6:$A$50,B108)=0,"SAI HẠNG MỤC","OK"))))</x:f>
        <x:v>OK</x:v>
      </x:c>
    </x:row>
    <x:row r="109">
      <x:c r="A109" s="33" t="str">
        <x:f>IF(OR(B109="",D109=""),"",B109&amp;"-"&amp;IF(OR(C109="",C109="-"),"X",UPPER(C109))&amp;"-"&amp;TEXT(D109,"00"))</x:f>
        <x:v>PB-DOI-NAM46-E-01</x:v>
      </x:c>
      <x:c r="B109" s="26" t="str">
        <x:v>PB-DOI-NAM46</x:v>
      </x:c>
      <x:c r="C109" s="26" t="str">
        <x:v>E</x:v>
      </x:c>
      <x:c r="D109" s="35" t="n">
        <x:v>1</x:v>
      </x:c>
      <x:c r="E109" s="28" t="str"/>
      <x:c r="F109" s="28" t="str"/>
      <x:c r="G109" s="28" t="str"/>
      <x:c r="H109" s="28" t="str"/>
      <x:c r="I109" s="28" t="str"/>
      <x:c r="J109" s="28" t="str"/>
      <x:c r="K109" s="28" t="str">
        <x:v>PDF scan: điền tên theo danh sách gốc</x:v>
      </x:c>
      <x:c r="L109" s="33" t="n">
        <x:v>18</x:v>
      </x:c>
      <x:c r="M109" s="33" t="str">
        <x:f>IF(E109="","CHỜ NHẬP","ĐÃ CÓ DỮ LIỆU")</x:f>
        <x:v>CHỜ NHẬP</x:v>
      </x:c>
      <x:c r="N109" s="33" t="str">
        <x:f>IF(AND(B109="",E109=""),"",IF(A109="","THIẾU ID",IF(COUNTIF($A$8:$A$193,A109)&gt;1,"TRÙNG ID",IF(COUNTIF(HANG_MUC!$A$6:$A$50,B109)=0,"SAI HẠNG MỤC","OK"))))</x:f>
        <x:v>OK</x:v>
      </x:c>
    </x:row>
    <x:row r="110">
      <x:c r="A110" s="33" t="str">
        <x:f>IF(OR(B110="",D110=""),"",B110&amp;"-"&amp;IF(OR(C110="",C110="-"),"X",UPPER(C110))&amp;"-"&amp;TEXT(D110,"00"))</x:f>
        <x:v>PB-DOI-NAM46-E-02</x:v>
      </x:c>
      <x:c r="B110" s="26" t="str">
        <x:v>PB-DOI-NAM46</x:v>
      </x:c>
      <x:c r="C110" s="26" t="str">
        <x:v>E</x:v>
      </x:c>
      <x:c r="D110" s="35" t="n">
        <x:v>2</x:v>
      </x:c>
      <x:c r="E110" s="28" t="str"/>
      <x:c r="F110" s="28" t="str"/>
      <x:c r="G110" s="28" t="str"/>
      <x:c r="H110" s="28" t="str"/>
      <x:c r="I110" s="28" t="str"/>
      <x:c r="J110" s="28" t="str"/>
      <x:c r="K110" s="28" t="str">
        <x:v>PDF scan: điền tên theo danh sách gốc</x:v>
      </x:c>
      <x:c r="L110" s="33" t="n">
        <x:v>18</x:v>
      </x:c>
      <x:c r="M110" s="33" t="str">
        <x:f>IF(E110="","CHỜ NHẬP","ĐÃ CÓ DỮ LIỆU")</x:f>
        <x:v>CHỜ NHẬP</x:v>
      </x:c>
      <x:c r="N110" s="33" t="str">
        <x:f>IF(AND(B110="",E110=""),"",IF(A110="","THIẾU ID",IF(COUNTIF($A$8:$A$193,A110)&gt;1,"TRÙNG ID",IF(COUNTIF(HANG_MUC!$A$6:$A$50,B110)=0,"SAI HẠNG MỤC","OK"))))</x:f>
        <x:v>OK</x:v>
      </x:c>
    </x:row>
    <x:row r="111">
      <x:c r="A111" s="33" t="str">
        <x:f>IF(OR(B111="",D111=""),"",B111&amp;"-"&amp;IF(OR(C111="",C111="-"),"X",UPPER(C111))&amp;"-"&amp;TEXT(D111,"00"))</x:f>
        <x:v>PB-DOI-NAM46-E-03</x:v>
      </x:c>
      <x:c r="B111" s="26" t="str">
        <x:v>PB-DOI-NAM46</x:v>
      </x:c>
      <x:c r="C111" s="26" t="str">
        <x:v>E</x:v>
      </x:c>
      <x:c r="D111" s="35" t="n">
        <x:v>3</x:v>
      </x:c>
      <x:c r="E111" s="28" t="str"/>
      <x:c r="F111" s="28" t="str"/>
      <x:c r="G111" s="28" t="str"/>
      <x:c r="H111" s="28" t="str"/>
      <x:c r="I111" s="28" t="str"/>
      <x:c r="J111" s="28" t="str"/>
      <x:c r="K111" s="28" t="str">
        <x:v>PDF scan: điền tên theo danh sách gốc</x:v>
      </x:c>
      <x:c r="L111" s="33" t="n">
        <x:v>18</x:v>
      </x:c>
      <x:c r="M111" s="33" t="str">
        <x:f>IF(E111="","CHỜ NHẬP","ĐÃ CÓ DỮ LIỆU")</x:f>
        <x:v>CHỜ NHẬP</x:v>
      </x:c>
      <x:c r="N111" s="33" t="str">
        <x:f>IF(AND(B111="",E111=""),"",IF(A111="","THIẾU ID",IF(COUNTIF($A$8:$A$193,A111)&gt;1,"TRÙNG ID",IF(COUNTIF(HANG_MUC!$A$6:$A$50,B111)=0,"SAI HẠNG MỤC","OK"))))</x:f>
        <x:v>OK</x:v>
      </x:c>
    </x:row>
    <x:row r="112">
      <x:c r="A112" s="33" t="str">
        <x:f>IF(OR(B112="",D112=""),"",B112&amp;"-"&amp;IF(OR(C112="",C112="-"),"X",UPPER(C112))&amp;"-"&amp;TEXT(D112,"00"))</x:f>
        <x:v>PB-DOI-NAM46-F-01</x:v>
      </x:c>
      <x:c r="B112" s="26" t="str">
        <x:v>PB-DOI-NAM46</x:v>
      </x:c>
      <x:c r="C112" s="26" t="str">
        <x:v>F</x:v>
      </x:c>
      <x:c r="D112" s="35" t="n">
        <x:v>1</x:v>
      </x:c>
      <x:c r="E112" s="28" t="str"/>
      <x:c r="F112" s="28" t="str"/>
      <x:c r="G112" s="28" t="str"/>
      <x:c r="H112" s="28" t="str"/>
      <x:c r="I112" s="28" t="str"/>
      <x:c r="J112" s="28" t="str"/>
      <x:c r="K112" s="28" t="str">
        <x:v>PDF scan: điền tên theo danh sách gốc</x:v>
      </x:c>
      <x:c r="L112" s="33" t="n">
        <x:v>18</x:v>
      </x:c>
      <x:c r="M112" s="33" t="str">
        <x:f>IF(E112="","CHỜ NHẬP","ĐÃ CÓ DỮ LIỆU")</x:f>
        <x:v>CHỜ NHẬP</x:v>
      </x:c>
      <x:c r="N112" s="33" t="str">
        <x:f>IF(AND(B112="",E112=""),"",IF(A112="","THIẾU ID",IF(COUNTIF($A$8:$A$193,A112)&gt;1,"TRÙNG ID",IF(COUNTIF(HANG_MUC!$A$6:$A$50,B112)=0,"SAI HẠNG MỤC","OK"))))</x:f>
        <x:v>OK</x:v>
      </x:c>
    </x:row>
    <x:row r="113">
      <x:c r="A113" s="33" t="str">
        <x:f>IF(OR(B113="",D113=""),"",B113&amp;"-"&amp;IF(OR(C113="",C113="-"),"X",UPPER(C113))&amp;"-"&amp;TEXT(D113,"00"))</x:f>
        <x:v>PB-DOI-NAM46-F-02</x:v>
      </x:c>
      <x:c r="B113" s="26" t="str">
        <x:v>PB-DOI-NAM46</x:v>
      </x:c>
      <x:c r="C113" s="26" t="str">
        <x:v>F</x:v>
      </x:c>
      <x:c r="D113" s="35" t="n">
        <x:v>2</x:v>
      </x:c>
      <x:c r="E113" s="28" t="str"/>
      <x:c r="F113" s="28" t="str"/>
      <x:c r="G113" s="28" t="str"/>
      <x:c r="H113" s="28" t="str"/>
      <x:c r="I113" s="28" t="str"/>
      <x:c r="J113" s="28" t="str"/>
      <x:c r="K113" s="28" t="str">
        <x:v>PDF scan: điền tên theo danh sách gốc</x:v>
      </x:c>
      <x:c r="L113" s="33" t="n">
        <x:v>18</x:v>
      </x:c>
      <x:c r="M113" s="33" t="str">
        <x:f>IF(E113="","CHỜ NHẬP","ĐÃ CÓ DỮ LIỆU")</x:f>
        <x:v>CHỜ NHẬP</x:v>
      </x:c>
      <x:c r="N113" s="33" t="str">
        <x:f>IF(AND(B113="",E113=""),"",IF(A113="","THIẾU ID",IF(COUNTIF($A$8:$A$193,A113)&gt;1,"TRÙNG ID",IF(COUNTIF(HANG_MUC!$A$6:$A$50,B113)=0,"SAI HẠNG MỤC","OK"))))</x:f>
        <x:v>OK</x:v>
      </x:c>
    </x:row>
    <x:row r="114">
      <x:c r="A114" s="33" t="str">
        <x:f>IF(OR(B114="",D114=""),"",B114&amp;"-"&amp;IF(OR(C114="",C114="-"),"X",UPPER(C114))&amp;"-"&amp;TEXT(D114,"00"))</x:f>
        <x:v>PB-DOI-NAM46-F-03</x:v>
      </x:c>
      <x:c r="B114" s="26" t="str">
        <x:v>PB-DOI-NAM46</x:v>
      </x:c>
      <x:c r="C114" s="26" t="str">
        <x:v>F</x:v>
      </x:c>
      <x:c r="D114" s="35" t="n">
        <x:v>3</x:v>
      </x:c>
      <x:c r="E114" s="28" t="str"/>
      <x:c r="F114" s="28" t="str"/>
      <x:c r="G114" s="28" t="str"/>
      <x:c r="H114" s="28" t="str"/>
      <x:c r="I114" s="28" t="str"/>
      <x:c r="J114" s="28" t="str"/>
      <x:c r="K114" s="28" t="str">
        <x:v>PDF scan: điền tên theo danh sách gốc</x:v>
      </x:c>
      <x:c r="L114" s="33" t="n">
        <x:v>18</x:v>
      </x:c>
      <x:c r="M114" s="33" t="str">
        <x:f>IF(E114="","CHỜ NHẬP","ĐÃ CÓ DỮ LIỆU")</x:f>
        <x:v>CHỜ NHẬP</x:v>
      </x:c>
      <x:c r="N114" s="33" t="str">
        <x:f>IF(AND(B114="",E114=""),"",IF(A114="","THIẾU ID",IF(COUNTIF($A$8:$A$193,A114)&gt;1,"TRÙNG ID",IF(COUNTIF(HANG_MUC!$A$6:$A$50,B114)=0,"SAI HẠNG MỤC","OK"))))</x:f>
        <x:v>OK</x:v>
      </x:c>
    </x:row>
    <x:row r="115">
      <x:c r="A115" s="33" t="str">
        <x:f>IF(OR(B115="",D115=""),"",B115&amp;"-"&amp;IF(OR(C115="",C115="-"),"X",UPPER(C115))&amp;"-"&amp;TEXT(D115,"00"))</x:f>
        <x:v>PB-DOI-NU45-A-01</x:v>
      </x:c>
      <x:c r="B115" s="26" t="str">
        <x:v>PB-DOI-NU45</x:v>
      </x:c>
      <x:c r="C115" s="26" t="str">
        <x:v>A</x:v>
      </x:c>
      <x:c r="D115" s="35" t="n">
        <x:v>1</x:v>
      </x:c>
      <x:c r="E115" s="28" t="str"/>
      <x:c r="F115" s="28" t="str"/>
      <x:c r="G115" s="28" t="str"/>
      <x:c r="H115" s="28" t="str"/>
      <x:c r="I115" s="28" t="str"/>
      <x:c r="J115" s="28" t="str"/>
      <x:c r="K115" s="28" t="str">
        <x:v>PDF scan: điền tên theo danh sách gốc</x:v>
      </x:c>
      <x:c r="L115" s="33" t="n">
        <x:v>22</x:v>
      </x:c>
      <x:c r="M115" s="33" t="str">
        <x:f>IF(E115="","CHỜ NHẬP","ĐÃ CÓ DỮ LIỆU")</x:f>
        <x:v>CHỜ NHẬP</x:v>
      </x:c>
      <x:c r="N115" s="33" t="str">
        <x:f>IF(AND(B115="",E115=""),"",IF(A115="","THIẾU ID",IF(COUNTIF($A$8:$A$193,A115)&gt;1,"TRÙNG ID",IF(COUNTIF(HANG_MUC!$A$6:$A$50,B115)=0,"SAI HẠNG MỤC","OK"))))</x:f>
        <x:v>OK</x:v>
      </x:c>
    </x:row>
    <x:row r="116">
      <x:c r="A116" s="33" t="str">
        <x:f>IF(OR(B116="",D116=""),"",B116&amp;"-"&amp;IF(OR(C116="",C116="-"),"X",UPPER(C116))&amp;"-"&amp;TEXT(D116,"00"))</x:f>
        <x:v>PB-DOI-NU45-A-02</x:v>
      </x:c>
      <x:c r="B116" s="26" t="str">
        <x:v>PB-DOI-NU45</x:v>
      </x:c>
      <x:c r="C116" s="26" t="str">
        <x:v>A</x:v>
      </x:c>
      <x:c r="D116" s="35" t="n">
        <x:v>2</x:v>
      </x:c>
      <x:c r="E116" s="28" t="str"/>
      <x:c r="F116" s="28" t="str"/>
      <x:c r="G116" s="28" t="str"/>
      <x:c r="H116" s="28" t="str"/>
      <x:c r="I116" s="28" t="str"/>
      <x:c r="J116" s="28" t="str"/>
      <x:c r="K116" s="28" t="str">
        <x:v>PDF scan: điền tên theo danh sách gốc</x:v>
      </x:c>
      <x:c r="L116" s="33" t="n">
        <x:v>22</x:v>
      </x:c>
      <x:c r="M116" s="33" t="str">
        <x:f>IF(E116="","CHỜ NHẬP","ĐÃ CÓ DỮ LIỆU")</x:f>
        <x:v>CHỜ NHẬP</x:v>
      </x:c>
      <x:c r="N116" s="33" t="str">
        <x:f>IF(AND(B116="",E116=""),"",IF(A116="","THIẾU ID",IF(COUNTIF($A$8:$A$193,A116)&gt;1,"TRÙNG ID",IF(COUNTIF(HANG_MUC!$A$6:$A$50,B116)=0,"SAI HẠNG MỤC","OK"))))</x:f>
        <x:v>OK</x:v>
      </x:c>
    </x:row>
    <x:row r="117">
      <x:c r="A117" s="33" t="str">
        <x:f>IF(OR(B117="",D117=""),"",B117&amp;"-"&amp;IF(OR(C117="",C117="-"),"X",UPPER(C117))&amp;"-"&amp;TEXT(D117,"00"))</x:f>
        <x:v>PB-DOI-NU45-A-03</x:v>
      </x:c>
      <x:c r="B117" s="26" t="str">
        <x:v>PB-DOI-NU45</x:v>
      </x:c>
      <x:c r="C117" s="26" t="str">
        <x:v>A</x:v>
      </x:c>
      <x:c r="D117" s="35" t="n">
        <x:v>3</x:v>
      </x:c>
      <x:c r="E117" s="28" t="str"/>
      <x:c r="F117" s="28" t="str"/>
      <x:c r="G117" s="28" t="str"/>
      <x:c r="H117" s="28" t="str"/>
      <x:c r="I117" s="28" t="str"/>
      <x:c r="J117" s="28" t="str"/>
      <x:c r="K117" s="28" t="str">
        <x:v>PDF scan: điền tên theo danh sách gốc</x:v>
      </x:c>
      <x:c r="L117" s="33" t="n">
        <x:v>22</x:v>
      </x:c>
      <x:c r="M117" s="33" t="str">
        <x:f>IF(E117="","CHỜ NHẬP","ĐÃ CÓ DỮ LIỆU")</x:f>
        <x:v>CHỜ NHẬP</x:v>
      </x:c>
      <x:c r="N117" s="33" t="str">
        <x:f>IF(AND(B117="",E117=""),"",IF(A117="","THIẾU ID",IF(COUNTIF($A$8:$A$193,A117)&gt;1,"TRÙNG ID",IF(COUNTIF(HANG_MUC!$A$6:$A$50,B117)=0,"SAI HẠNG MỤC","OK"))))</x:f>
        <x:v>OK</x:v>
      </x:c>
    </x:row>
    <x:row r="118">
      <x:c r="A118" s="33" t="str">
        <x:f>IF(OR(B118="",D118=""),"",B118&amp;"-"&amp;IF(OR(C118="",C118="-"),"X",UPPER(C118))&amp;"-"&amp;TEXT(D118,"00"))</x:f>
        <x:v>PB-DOI-NU45-B-01</x:v>
      </x:c>
      <x:c r="B118" s="26" t="str">
        <x:v>PB-DOI-NU45</x:v>
      </x:c>
      <x:c r="C118" s="26" t="str">
        <x:v>B</x:v>
      </x:c>
      <x:c r="D118" s="35" t="n">
        <x:v>1</x:v>
      </x:c>
      <x:c r="E118" s="28" t="str"/>
      <x:c r="F118" s="28" t="str"/>
      <x:c r="G118" s="28" t="str"/>
      <x:c r="H118" s="28" t="str"/>
      <x:c r="I118" s="28" t="str"/>
      <x:c r="J118" s="28" t="str"/>
      <x:c r="K118" s="28" t="str">
        <x:v>PDF scan: điền tên theo danh sách gốc</x:v>
      </x:c>
      <x:c r="L118" s="33" t="n">
        <x:v>22</x:v>
      </x:c>
      <x:c r="M118" s="33" t="str">
        <x:f>IF(E118="","CHỜ NHẬP","ĐÃ CÓ DỮ LIỆU")</x:f>
        <x:v>CHỜ NHẬP</x:v>
      </x:c>
      <x:c r="N118" s="33" t="str">
        <x:f>IF(AND(B118="",E118=""),"",IF(A118="","THIẾU ID",IF(COUNTIF($A$8:$A$193,A118)&gt;1,"TRÙNG ID",IF(COUNTIF(HANG_MUC!$A$6:$A$50,B118)=0,"SAI HẠNG MỤC","OK"))))</x:f>
        <x:v>OK</x:v>
      </x:c>
    </x:row>
    <x:row r="119">
      <x:c r="A119" s="33" t="str">
        <x:f>IF(OR(B119="",D119=""),"",B119&amp;"-"&amp;IF(OR(C119="",C119="-"),"X",UPPER(C119))&amp;"-"&amp;TEXT(D119,"00"))</x:f>
        <x:v>PB-DOI-NU45-B-02</x:v>
      </x:c>
      <x:c r="B119" s="26" t="str">
        <x:v>PB-DOI-NU45</x:v>
      </x:c>
      <x:c r="C119" s="26" t="str">
        <x:v>B</x:v>
      </x:c>
      <x:c r="D119" s="35" t="n">
        <x:v>2</x:v>
      </x:c>
      <x:c r="E119" s="28" t="str"/>
      <x:c r="F119" s="28" t="str"/>
      <x:c r="G119" s="28" t="str"/>
      <x:c r="H119" s="28" t="str"/>
      <x:c r="I119" s="28" t="str"/>
      <x:c r="J119" s="28" t="str"/>
      <x:c r="K119" s="28" t="str">
        <x:v>PDF scan: điền tên theo danh sách gốc</x:v>
      </x:c>
      <x:c r="L119" s="33" t="n">
        <x:v>22</x:v>
      </x:c>
      <x:c r="M119" s="33" t="str">
        <x:f>IF(E119="","CHỜ NHẬP","ĐÃ CÓ DỮ LIỆU")</x:f>
        <x:v>CHỜ NHẬP</x:v>
      </x:c>
      <x:c r="N119" s="33" t="str">
        <x:f>IF(AND(B119="",E119=""),"",IF(A119="","THIẾU ID",IF(COUNTIF($A$8:$A$193,A119)&gt;1,"TRÙNG ID",IF(COUNTIF(HANG_MUC!$A$6:$A$50,B119)=0,"SAI HẠNG MỤC","OK"))))</x:f>
        <x:v>OK</x:v>
      </x:c>
    </x:row>
    <x:row r="120">
      <x:c r="A120" s="33" t="str">
        <x:f>IF(OR(B120="",D120=""),"",B120&amp;"-"&amp;IF(OR(C120="",C120="-"),"X",UPPER(C120))&amp;"-"&amp;TEXT(D120,"00"))</x:f>
        <x:v>PB-DOI-NU45-B-03</x:v>
      </x:c>
      <x:c r="B120" s="26" t="str">
        <x:v>PB-DOI-NU45</x:v>
      </x:c>
      <x:c r="C120" s="26" t="str">
        <x:v>B</x:v>
      </x:c>
      <x:c r="D120" s="35" t="n">
        <x:v>3</x:v>
      </x:c>
      <x:c r="E120" s="28" t="str"/>
      <x:c r="F120" s="28" t="str"/>
      <x:c r="G120" s="28" t="str"/>
      <x:c r="H120" s="28" t="str"/>
      <x:c r="I120" s="28" t="str"/>
      <x:c r="J120" s="28" t="str"/>
      <x:c r="K120" s="28" t="str">
        <x:v>PDF scan: điền tên theo danh sách gốc</x:v>
      </x:c>
      <x:c r="L120" s="33" t="n">
        <x:v>22</x:v>
      </x:c>
      <x:c r="M120" s="33" t="str">
        <x:f>IF(E120="","CHỜ NHẬP","ĐÃ CÓ DỮ LIỆU")</x:f>
        <x:v>CHỜ NHẬP</x:v>
      </x:c>
      <x:c r="N120" s="33" t="str">
        <x:f>IF(AND(B120="",E120=""),"",IF(A120="","THIẾU ID",IF(COUNTIF($A$8:$A$193,A120)&gt;1,"TRÙNG ID",IF(COUNTIF(HANG_MUC!$A$6:$A$50,B120)=0,"SAI HẠNG MỤC","OK"))))</x:f>
        <x:v>OK</x:v>
      </x:c>
    </x:row>
    <x:row r="121">
      <x:c r="A121" s="33" t="str">
        <x:f>IF(OR(B121="",D121=""),"",B121&amp;"-"&amp;IF(OR(C121="",C121="-"),"X",UPPER(C121))&amp;"-"&amp;TEXT(D121,"00"))</x:f>
        <x:v>PB-DOI-NU45-C-01</x:v>
      </x:c>
      <x:c r="B121" s="26" t="str">
        <x:v>PB-DOI-NU45</x:v>
      </x:c>
      <x:c r="C121" s="26" t="str">
        <x:v>C</x:v>
      </x:c>
      <x:c r="D121" s="35" t="n">
        <x:v>1</x:v>
      </x:c>
      <x:c r="E121" s="28" t="str"/>
      <x:c r="F121" s="28" t="str"/>
      <x:c r="G121" s="28" t="str"/>
      <x:c r="H121" s="28" t="str"/>
      <x:c r="I121" s="28" t="str"/>
      <x:c r="J121" s="28" t="str"/>
      <x:c r="K121" s="28" t="str">
        <x:v>PDF scan: điền tên theo danh sách gốc</x:v>
      </x:c>
      <x:c r="L121" s="33" t="n">
        <x:v>22</x:v>
      </x:c>
      <x:c r="M121" s="33" t="str">
        <x:f>IF(E121="","CHỜ NHẬP","ĐÃ CÓ DỮ LIỆU")</x:f>
        <x:v>CHỜ NHẬP</x:v>
      </x:c>
      <x:c r="N121" s="33" t="str">
        <x:f>IF(AND(B121="",E121=""),"",IF(A121="","THIẾU ID",IF(COUNTIF($A$8:$A$193,A121)&gt;1,"TRÙNG ID",IF(COUNTIF(HANG_MUC!$A$6:$A$50,B121)=0,"SAI HẠNG MỤC","OK"))))</x:f>
        <x:v>OK</x:v>
      </x:c>
    </x:row>
    <x:row r="122">
      <x:c r="A122" s="33" t="str">
        <x:f>IF(OR(B122="",D122=""),"",B122&amp;"-"&amp;IF(OR(C122="",C122="-"),"X",UPPER(C122))&amp;"-"&amp;TEXT(D122,"00"))</x:f>
        <x:v>PB-DOI-NU45-C-02</x:v>
      </x:c>
      <x:c r="B122" s="26" t="str">
        <x:v>PB-DOI-NU45</x:v>
      </x:c>
      <x:c r="C122" s="26" t="str">
        <x:v>C</x:v>
      </x:c>
      <x:c r="D122" s="35" t="n">
        <x:v>2</x:v>
      </x:c>
      <x:c r="E122" s="28" t="str"/>
      <x:c r="F122" s="28" t="str"/>
      <x:c r="G122" s="28" t="str"/>
      <x:c r="H122" s="28" t="str"/>
      <x:c r="I122" s="28" t="str"/>
      <x:c r="J122" s="28" t="str"/>
      <x:c r="K122" s="28" t="str">
        <x:v>PDF scan: điền tên theo danh sách gốc</x:v>
      </x:c>
      <x:c r="L122" s="33" t="n">
        <x:v>22</x:v>
      </x:c>
      <x:c r="M122" s="33" t="str">
        <x:f>IF(E122="","CHỜ NHẬP","ĐÃ CÓ DỮ LIỆU")</x:f>
        <x:v>CHỜ NHẬP</x:v>
      </x:c>
      <x:c r="N122" s="33" t="str">
        <x:f>IF(AND(B122="",E122=""),"",IF(A122="","THIẾU ID",IF(COUNTIF($A$8:$A$193,A122)&gt;1,"TRÙNG ID",IF(COUNTIF(HANG_MUC!$A$6:$A$50,B122)=0,"SAI HẠNG MỤC","OK"))))</x:f>
        <x:v>OK</x:v>
      </x:c>
    </x:row>
    <x:row r="123">
      <x:c r="A123" s="33" t="str">
        <x:f>IF(OR(B123="",D123=""),"",B123&amp;"-"&amp;IF(OR(C123="",C123="-"),"X",UPPER(C123))&amp;"-"&amp;TEXT(D123,"00"))</x:f>
        <x:v>PB-DOI-NU45-C-03</x:v>
      </x:c>
      <x:c r="B123" s="26" t="str">
        <x:v>PB-DOI-NU45</x:v>
      </x:c>
      <x:c r="C123" s="26" t="str">
        <x:v>C</x:v>
      </x:c>
      <x:c r="D123" s="35" t="n">
        <x:v>3</x:v>
      </x:c>
      <x:c r="E123" s="28" t="str"/>
      <x:c r="F123" s="28" t="str"/>
      <x:c r="G123" s="28" t="str"/>
      <x:c r="H123" s="28" t="str"/>
      <x:c r="I123" s="28" t="str"/>
      <x:c r="J123" s="28" t="str"/>
      <x:c r="K123" s="28" t="str">
        <x:v>PDF scan: điền tên theo danh sách gốc</x:v>
      </x:c>
      <x:c r="L123" s="33" t="n">
        <x:v>22</x:v>
      </x:c>
      <x:c r="M123" s="33" t="str">
        <x:f>IF(E123="","CHỜ NHẬP","ĐÃ CÓ DỮ LIỆU")</x:f>
        <x:v>CHỜ NHẬP</x:v>
      </x:c>
      <x:c r="N123" s="33" t="str">
        <x:f>IF(AND(B123="",E123=""),"",IF(A123="","THIẾU ID",IF(COUNTIF($A$8:$A$193,A123)&gt;1,"TRÙNG ID",IF(COUNTIF(HANG_MUC!$A$6:$A$50,B123)=0,"SAI HẠNG MỤC","OK"))))</x:f>
        <x:v>OK</x:v>
      </x:c>
    </x:row>
    <x:row r="124">
      <x:c r="A124" s="33" t="str">
        <x:f>IF(OR(B124="",D124=""),"",B124&amp;"-"&amp;IF(OR(C124="",C124="-"),"X",UPPER(C124))&amp;"-"&amp;TEXT(D124,"00"))</x:f>
        <x:v>PB-DOI-NU45-D-01</x:v>
      </x:c>
      <x:c r="B124" s="26" t="str">
        <x:v>PB-DOI-NU45</x:v>
      </x:c>
      <x:c r="C124" s="26" t="str">
        <x:v>D</x:v>
      </x:c>
      <x:c r="D124" s="35" t="n">
        <x:v>1</x:v>
      </x:c>
      <x:c r="E124" s="28" t="str"/>
      <x:c r="F124" s="28" t="str"/>
      <x:c r="G124" s="28" t="str"/>
      <x:c r="H124" s="28" t="str"/>
      <x:c r="I124" s="28" t="str"/>
      <x:c r="J124" s="28" t="str"/>
      <x:c r="K124" s="28" t="str">
        <x:v>PDF scan: điền tên theo danh sách gốc</x:v>
      </x:c>
      <x:c r="L124" s="33" t="n">
        <x:v>22</x:v>
      </x:c>
      <x:c r="M124" s="33" t="str">
        <x:f>IF(E124="","CHỜ NHẬP","ĐÃ CÓ DỮ LIỆU")</x:f>
        <x:v>CHỜ NHẬP</x:v>
      </x:c>
      <x:c r="N124" s="33" t="str">
        <x:f>IF(AND(B124="",E124=""),"",IF(A124="","THIẾU ID",IF(COUNTIF($A$8:$A$193,A124)&gt;1,"TRÙNG ID",IF(COUNTIF(HANG_MUC!$A$6:$A$50,B124)=0,"SAI HẠNG MỤC","OK"))))</x:f>
        <x:v>OK</x:v>
      </x:c>
    </x:row>
    <x:row r="125">
      <x:c r="A125" s="33" t="str">
        <x:f>IF(OR(B125="",D125=""),"",B125&amp;"-"&amp;IF(OR(C125="",C125="-"),"X",UPPER(C125))&amp;"-"&amp;TEXT(D125,"00"))</x:f>
        <x:v>PB-DOI-NU45-D-02</x:v>
      </x:c>
      <x:c r="B125" s="26" t="str">
        <x:v>PB-DOI-NU45</x:v>
      </x:c>
      <x:c r="C125" s="26" t="str">
        <x:v>D</x:v>
      </x:c>
      <x:c r="D125" s="35" t="n">
        <x:v>2</x:v>
      </x:c>
      <x:c r="E125" s="28" t="str"/>
      <x:c r="F125" s="28" t="str"/>
      <x:c r="G125" s="28" t="str"/>
      <x:c r="H125" s="28" t="str"/>
      <x:c r="I125" s="28" t="str"/>
      <x:c r="J125" s="28" t="str"/>
      <x:c r="K125" s="28" t="str">
        <x:v>PDF scan: điền tên theo danh sách gốc</x:v>
      </x:c>
      <x:c r="L125" s="33" t="n">
        <x:v>22</x:v>
      </x:c>
      <x:c r="M125" s="33" t="str">
        <x:f>IF(E125="","CHỜ NHẬP","ĐÃ CÓ DỮ LIỆU")</x:f>
        <x:v>CHỜ NHẬP</x:v>
      </x:c>
      <x:c r="N125" s="33" t="str">
        <x:f>IF(AND(B125="",E125=""),"",IF(A125="","THIẾU ID",IF(COUNTIF($A$8:$A$193,A125)&gt;1,"TRÙNG ID",IF(COUNTIF(HANG_MUC!$A$6:$A$50,B125)=0,"SAI HẠNG MỤC","OK"))))</x:f>
        <x:v>OK</x:v>
      </x:c>
    </x:row>
    <x:row r="126">
      <x:c r="A126" s="33" t="str">
        <x:f>IF(OR(B126="",D126=""),"",B126&amp;"-"&amp;IF(OR(C126="",C126="-"),"X",UPPER(C126))&amp;"-"&amp;TEXT(D126,"00"))</x:f>
        <x:v>PB-DOI-NU45-D-03</x:v>
      </x:c>
      <x:c r="B126" s="26" t="str">
        <x:v>PB-DOI-NU45</x:v>
      </x:c>
      <x:c r="C126" s="26" t="str">
        <x:v>D</x:v>
      </x:c>
      <x:c r="D126" s="35" t="n">
        <x:v>3</x:v>
      </x:c>
      <x:c r="E126" s="28" t="str"/>
      <x:c r="F126" s="28" t="str"/>
      <x:c r="G126" s="28" t="str"/>
      <x:c r="H126" s="28" t="str"/>
      <x:c r="I126" s="28" t="str"/>
      <x:c r="J126" s="28" t="str"/>
      <x:c r="K126" s="28" t="str">
        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 </x:c>
      <x:c r="N126" s="33" t="str">
        <x:f>IF(AND(B126="",E126=""),"",IF(A126="","THIẾU ID",IF(COUNTIF($A$8:$A$193,A126)&gt;1,"TRÙNG ID",IF(COUNTIF(HANG_MUC!$A$6:$A$50,B126)=0,"SAI HẠNG MỤC","OK"))))</x:f>
        <x:v>OK</x:v>
      </x:c>
    </x:row>
    <x:row r="127">
      <x:c r="A127" s="33" t="str">
        <x:f>IF(OR(B127="",D127=""),"",B127&amp;"-"&amp;IF(OR(C127="",C127="-"),"X",UPPER(C127))&amp;"-"&amp;TEXT(D127,"00"))</x:f>
        <x:v>PB-DOI-NU45-E-01</x:v>
      </x:c>
      <x:c r="B127" s="26" t="str">
        <x:v>PB-DOI-NU45</x:v>
      </x:c>
      <x:c r="C127" s="26" t="str">
        <x:v>E</x:v>
      </x:c>
      <x:c r="D127" s="35" t="n">
        <x:v>1</x:v>
      </x:c>
      <x:c r="E127" s="28" t="str"/>
      <x:c r="F127" s="28" t="str"/>
      <x:c r="G127" s="28" t="str"/>
      <x:c r="H127" s="28" t="str"/>
      <x:c r="I127" s="28" t="str"/>
      <x:c r="J127" s="28" t="str"/>
      <x:c r="K127" s="28" t="str">
        <x:v>PDF scan: điền tên theo danh sách gốc</x:v>
      </x:c>
      <x:c r="L127" s="33" t="n">
        <x:v>22</x:v>
      </x:c>
      <x:c r="M127" s="33" t="str">
        <x:f>IF(E127="","CHỜ NHẬP","ĐÃ CÓ DỮ LIỆU")</x:f>
        <x:v>CHỜ NHẬP</x:v>
      </x:c>
      <x:c r="N127" s="33" t="str">
        <x:f>IF(AND(B127="",E127=""),"",IF(A127="","THIẾU ID",IF(COUNTIF($A$8:$A$193,A127)&gt;1,"TRÙNG ID",IF(COUNTIF(HANG_MUC!$A$6:$A$50,B127)=0,"SAI HẠNG MỤC","OK"))))</x:f>
        <x:v>OK</x:v>
      </x:c>
    </x:row>
    <x:row r="128">
      <x:c r="A128" s="33" t="str">
        <x:f>IF(OR(B128="",D128=""),"",B128&amp;"-"&amp;IF(OR(C128="",C128="-"),"X",UPPER(C128))&amp;"-"&amp;TEXT(D128,"00"))</x:f>
        <x:v>PB-DOI-NU45-E-02</x:v>
      </x:c>
      <x:c r="B128" s="26" t="str">
        <x:v>PB-DOI-NU45</x:v>
      </x:c>
      <x:c r="C128" s="26" t="str">
        <x:v>E</x:v>
      </x:c>
      <x:c r="D128" s="35" t="n">
        <x:v>2</x:v>
      </x:c>
      <x:c r="E128" s="28" t="str"/>
      <x:c r="F128" s="28" t="str"/>
      <x:c r="G128" s="28" t="str"/>
      <x:c r="H128" s="28" t="str"/>
      <x:c r="I128" s="28" t="str"/>
      <x:c r="J128" s="28" t="str"/>
      <x:c r="K128" s="28" t="str">
        <x:v>PDF scan: điền tên theo danh sách gốc</x:v>
      </x:c>
      <x:c r="L128" s="33" t="n">
        <x:v>22</x:v>
      </x:c>
      <x:c r="M128" s="33" t="str">
        <x:f>IF(E128="","CHỜ NHẬP","ĐÃ CÓ DỮ LIỆU")</x:f>
        <x:v>CHỜ NHẬP</x:v>
      </x:c>
      <x:c r="N128" s="33" t="str">
        <x:f>IF(AND(B128="",E128=""),"",IF(A128="","THIẾU ID",IF(COUNTIF($A$8:$A$193,A128)&gt;1,"TRÙNG ID",IF(COUNTIF(HANG_MUC!$A$6:$A$50,B128)=0,"SAI HẠNG MỤC","OK"))))</x:f>
        <x:v>OK</x:v>
      </x:c>
    </x:row>
    <x:row r="129">
      <x:c r="A129" s="33" t="str">
        <x:f>IF(OR(B129="",D129=""),"",B129&amp;"-"&amp;IF(OR(C129="",C129="-"),"X",UPPER(C129))&amp;"-"&amp;TEXT(D129,"00"))</x:f>
        <x:v>PB-DOI-NU45-E-03</x:v>
      </x:c>
      <x:c r="B129" s="26" t="str">
        <x:v>PB-DOI-NU45</x:v>
      </x:c>
      <x:c r="C129" s="26" t="str">
        <x:v>E</x:v>
      </x:c>
      <x:c r="D129" s="35" t="n">
        <x:v>3</x:v>
      </x:c>
      <x:c r="E129" s="28" t="str"/>
      <x:c r="F129" s="28" t="str"/>
      <x:c r="G129" s="28" t="str"/>
      <x:c r="H129" s="28" t="str"/>
      <x:c r="I129" s="28" t="str"/>
      <x:c r="J129" s="28" t="str"/>
      <x:c r="K129" s="28" t="str">
        <x:v>PDF scan: điền tên theo danh sách gốc</x:v>
      </x:c>
      <x:c r="L129" s="33" t="n">
        <x:v>22</x:v>
      </x:c>
      <x:c r="M129" s="33" t="str">
        <x:f>IF(E129="","CHỜ NHẬP","ĐÃ CÓ DỮ LIỆU")</x:f>
        <x:v>CHỜ NHẬP</x:v>
      </x:c>
      <x:c r="N129" s="33" t="str">
        <x:f>IF(AND(B129="",E129=""),"",IF(A129="","THIẾU ID",IF(COUNTIF($A$8:$A$193,A129)&gt;1,"TRÙNG ID",IF(COUNTIF(HANG_MUC!$A$6:$A$50,B129)=0,"SAI HẠNG MỤC","OK"))))</x:f>
        <x:v>OK</x:v>
      </x:c>
    </x:row>
    <x:row r="130">
      <x:c r="A130" s="33" t="str">
        <x:f>IF(OR(B130="",D130=""),"",B130&amp;"-"&amp;IF(OR(C130="",C130="-"),"X",UPPER(C130))&amp;"-"&amp;TEXT(D130,"00"))</x:f>
        <x:v>PB-DOI-NU46-A-01</x:v>
      </x:c>
      <x:c r="B130" s="26" t="str">
        <x:v>PB-DOI-NU46</x:v>
      </x:c>
      <x:c r="C130" s="26" t="str">
        <x:v>A</x:v>
      </x:c>
      <x:c r="D130" s="35" t="n">
        <x:v>1</x:v>
      </x:c>
      <x:c r="E130" s="28" t="str"/>
      <x:c r="F130" s="28" t="str"/>
      <x:c r="G130" s="28" t="str"/>
      <x:c r="H130" s="28" t="str"/>
      <x:c r="I130" s="28" t="str"/>
      <x:c r="J130" s="28" t="str"/>
      <x:c r="K130" s="28" t="str">
        <x:v>PDF scan: điền tên theo danh sách gốc</x:v>
      </x:c>
      <x:c r="L130" s="33" t="n">
        <x:v>25</x:v>
      </x:c>
      <x:c r="M130" s="33" t="str">
        <x:f>IF(E130="","CHỜ NHẬP","ĐÃ CÓ DỮ LIỆU")</x:f>
        <x:v>CHỜ NHẬP</x:v>
      </x:c>
      <x:c r="N130" s="33" t="str">
        <x:f>IF(AND(B130="",E130=""),"",IF(A130="","THIẾU ID",IF(COUNTIF($A$8:$A$193,A130)&gt;1,"TRÙNG ID",IF(COUNTIF(HANG_MUC!$A$6:$A$50,B130)=0,"SAI HẠNG MỤC","OK"))))</x:f>
        <x:v>OK</x:v>
      </x:c>
    </x:row>
    <x:row r="131">
      <x:c r="A131" s="33" t="str">
        <x:f>IF(OR(B131="",D131=""),"",B131&amp;"-"&amp;IF(OR(C131="",C131="-"),"X",UPPER(C131))&amp;"-"&amp;TEXT(D131,"00"))</x:f>
        <x:v>PB-DOI-NU46-A-02</x:v>
      </x:c>
      <x:c r="B131" s="26" t="str">
        <x:v>PB-DOI-NU46</x:v>
      </x:c>
      <x:c r="C131" s="26" t="str">
        <x:v>A</x:v>
      </x:c>
      <x:c r="D131" s="35" t="n">
        <x:v>2</x:v>
      </x:c>
      <x:c r="E131" s="28" t="str"/>
      <x:c r="F131" s="28" t="str"/>
      <x:c r="G131" s="28" t="str"/>
      <x:c r="H131" s="28" t="str"/>
      <x:c r="I131" s="28" t="str"/>
      <x:c r="J131" s="28" t="str"/>
      <x:c r="K131" s="28" t="str">
        <x:v>PDF scan: điền tên theo danh sách gốc</x:v>
      </x:c>
      <x:c r="L131" s="33" t="n">
        <x:v>25</x:v>
      </x:c>
      <x:c r="M131" s="33" t="str">
        <x:f>IF(E131="","CHỜ NHẬP","ĐÃ CÓ DỮ LIỆU")</x:f>
        <x:v>CHỜ NHẬP</x:v>
      </x:c>
      <x:c r="N131" s="33" t="str">
        <x:f>IF(AND(B131="",E131=""),"",IF(A131="","THIẾU ID",IF(COUNTIF($A$8:$A$193,A131)&gt;1,"TRÙNG ID",IF(COUNTIF(HANG_MUC!$A$6:$A$50,B131)=0,"SAI HẠNG MỤC","OK"))))</x:f>
        <x:v>OK</x:v>
      </x:c>
    </x:row>
    <x:row r="132">
      <x:c r="A132" s="33" t="str">
        <x:f>IF(OR(B132="",D132=""),"",B132&amp;"-"&amp;IF(OR(C132="",C132="-"),"X",UPPER(C132))&amp;"-"&amp;TEXT(D132,"00"))</x:f>
        <x:v>PB-DOI-NU46-A-03</x:v>
      </x:c>
      <x:c r="B132" s="26" t="str">
        <x:v>PB-DOI-NU46</x:v>
      </x:c>
      <x:c r="C132" s="26" t="str">
        <x:v>A</x:v>
      </x:c>
      <x:c r="D132" s="35" t="n">
        <x:v>3</x:v>
      </x:c>
      <x:c r="E132" s="28" t="str"/>
      <x:c r="F132" s="28" t="str"/>
      <x:c r="G132" s="28" t="str"/>
      <x:c r="H132" s="28" t="str"/>
      <x:c r="I132" s="28" t="str"/>
      <x:c r="J132" s="28" t="str"/>
      <x:c r="K132" s="28" t="str">
        <x:v>PDF scan: điền tên theo danh sách gốc</x:v>
      </x:c>
      <x:c r="L132" s="33" t="n">
        <x:v>25</x:v>
      </x:c>
      <x:c r="M132" s="33" t="str">
        <x:f>IF(E132="","CHỜ NHẬP","ĐÃ CÓ DỮ LIỆU")</x:f>
        <x:v>CHỜ NHẬP</x:v>
      </x:c>
      <x:c r="N132" s="33" t="str">
        <x:f>IF(AND(B132="",E132=""),"",IF(A132="","THIẾU ID",IF(COUNTIF($A$8:$A$193,A132)&gt;1,"TRÙNG ID",IF(COUNTIF(HANG_MUC!$A$6:$A$50,B132)=0,"SAI HẠNG MỤC","OK"))))</x:f>
        <x:v>OK</x:v>
      </x:c>
    </x:row>
    <x:row r="133">
      <x:c r="A133" s="33" t="str">
        <x:f>IF(OR(B133="",D133=""),"",B133&amp;"-"&amp;IF(OR(C133="",C133="-"),"X",UPPER(C133))&amp;"-"&amp;TEXT(D133,"00"))</x:f>
        <x:v>PB-DOI-NU46-A-04</x:v>
      </x:c>
      <x:c r="B133" s="26" t="str">
        <x:v>PB-DOI-NU46</x:v>
      </x:c>
      <x:c r="C133" s="26" t="str">
        <x:v>A</x:v>
      </x:c>
      <x:c r="D133" s="35" t="n">
        <x:v>4</x:v>
      </x:c>
      <x:c r="E133" s="28" t="str"/>
      <x:c r="F133" s="28" t="str"/>
      <x:c r="G133" s="28" t="str"/>
      <x:c r="H133" s="28" t="str"/>
      <x:c r="I133" s="28" t="str"/>
      <x:c r="J133" s="28" t="str"/>
      <x:c r="K133" s="28" t="str">
        <x:v>PDF scan: điền tên theo danh sách gốc</x:v>
      </x:c>
      <x:c r="L133" s="33" t="n">
        <x:v>25</x:v>
      </x:c>
      <x:c r="M133" s="33" t="str">
        <x:f>IF(E133="","CHỜ NHẬP","ĐÃ CÓ DỮ LIỆU")</x:f>
        <x:v>CHỜ NHẬP</x:v>
      </x:c>
      <x:c r="N133" s="33" t="str">
        <x:f>IF(AND(B133="",E133=""),"",IF(A133="","THIẾU ID",IF(COUNTIF($A$8:$A$193,A133)&gt;1,"TRÙNG ID",IF(COUNTIF(HANG_MUC!$A$6:$A$50,B133)=0,"SAI HẠNG MỤC","OK"))))</x:f>
        <x:v>OK</x:v>
      </x:c>
    </x:row>
    <x:row r="134">
      <x:c r="A134" s="33" t="str">
        <x:f>IF(OR(B134="",D134=""),"",B134&amp;"-"&amp;IF(OR(C134="",C134="-"),"X",UPPER(C134))&amp;"-"&amp;TEXT(D134,"00"))</x:f>
        <x:v>PB-DOI-NU46-A-05</x:v>
      </x:c>
      <x:c r="B134" s="26" t="str">
        <x:v>PB-DOI-NU46</x:v>
      </x:c>
      <x:c r="C134" s="26" t="str">
        <x:v>A</x:v>
      </x:c>
      <x:c r="D134" s="35" t="n">
        <x:v>5</x:v>
      </x:c>
      <x:c r="E134" s="28" t="str"/>
      <x:c r="F134" s="28" t="str"/>
      <x:c r="G134" s="28" t="str"/>
      <x:c r="H134" s="28" t="str"/>
      <x:c r="I134" s="28" t="str"/>
      <x:c r="J134" s="28" t="str"/>
      <x:c r="K134" s="28" t="str">
        <x:v>PDF scan: điền tên theo danh sách gốc</x:v>
      </x:c>
      <x:c r="L134" s="33" t="n">
        <x:v>25</x:v>
      </x:c>
      <x:c r="M134" s="33" t="str">
        <x:f>IF(E134="","CHỜ NHẬP","ĐÃ CÓ DỮ LIỆU")</x:f>
        <x:v>CHỜ NHẬP</x:v>
      </x:c>
      <x:c r="N134" s="33" t="str">
        <x:f>IF(AND(B134="",E134=""),"",IF(A134="","THIẾU ID",IF(COUNTIF($A$8:$A$193,A134)&gt;1,"TRÙNG ID",IF(COUNTIF(HANG_MUC!$A$6:$A$50,B134)=0,"SAI HẠNG MỤC","OK"))))</x:f>
        <x:v>OK</x:v>
      </x:c>
    </x:row>
    <x:row r="135">
      <x:c r="A135" s="33" t="str">
        <x:f>IF(OR(B135="",D135=""),"",B135&amp;"-"&amp;IF(OR(C135="",C135="-"),"X",UPPER(C135))&amp;"-"&amp;TEXT(D135,"00"))</x:f>
        <x:v>PB-DOI-NAMNU45-A-01</x:v>
      </x:c>
      <x:c r="B135" s="26" t="str">
        <x:v>PB-DOI-NAMNU45</x:v>
      </x:c>
      <x:c r="C135" s="26" t="str">
        <x:v>A</x:v>
      </x:c>
      <x:c r="D135" s="35" t="n">
        <x:v>1</x:v>
      </x:c>
      <x:c r="E135" s="28" t="str"/>
      <x:c r="F135" s="28" t="str"/>
      <x:c r="G135" s="28" t="str"/>
      <x:c r="H135" s="28" t="str"/>
      <x:c r="I135" s="28" t="str"/>
      <x:c r="J135" s="28" t="str"/>
      <x:c r="K135" s="28" t="str">
        <x:v>PDF scan: điền tên theo danh sách gốc</x:v>
      </x:c>
      <x:c r="L135" s="33" t="n">
        <x:v>26</x:v>
      </x:c>
      <x:c r="M135" s="33" t="str">
        <x:f>IF(E135="","CHỜ NHẬP","ĐÃ CÓ DỮ LIỆU")</x:f>
        <x:v>CHỜ NHẬP</x:v>
      </x:c>
      <x:c r="N135" s="33" t="str">
        <x:f>IF(AND(B135="",E135=""),"",IF(A135="","THIẾU ID",IF(COUNTIF($A$8:$A$193,A135)&gt;1,"TRÙNG ID",IF(COUNTIF(HANG_MUC!$A$6:$A$50,B135)=0,"SAI HẠNG MỤC","OK"))))</x:f>
        <x:v>OK</x:v>
      </x:c>
    </x:row>
    <x:row r="136">
      <x:c r="A136" s="33" t="str">
        <x:f>IF(OR(B136="",D136=""),"",B136&amp;"-"&amp;IF(OR(C136="",C136="-"),"X",UPPER(C136))&amp;"-"&amp;TEXT(D136,"00"))</x:f>
        <x:v>PB-DOI-NAMNU45-A-02</x:v>
      </x:c>
      <x:c r="B136" s="26" t="str">
        <x:v>PB-DOI-NAMNU45</x:v>
      </x:c>
      <x:c r="C136" s="26" t="str">
        <x:v>A</x:v>
      </x:c>
      <x:c r="D136" s="35" t="n">
        <x:v>2</x:v>
      </x:c>
      <x:c r="E136" s="28" t="str"/>
      <x:c r="F136" s="28" t="str"/>
      <x:c r="G136" s="28" t="str"/>
      <x:c r="H136" s="28" t="str"/>
      <x:c r="I136" s="28" t="str"/>
      <x:c r="J136" s="28" t="str"/>
      <x:c r="K136" s="28" t="str">
        <x:v>PDF scan: điền tên theo danh sách gốc</x:v>
      </x:c>
      <x:c r="L136" s="33" t="n">
        <x:v>26</x:v>
      </x:c>
      <x:c r="M136" s="33" t="str">
        <x:f>IF(E136="","CHỜ NHẬP","ĐÃ CÓ DỮ LIỆU")</x:f>
        <x:v>CHỜ NHẬP</x:v>
      </x:c>
      <x:c r="N136" s="33" t="str">
        <x:f>IF(AND(B136="",E136=""),"",IF(A136="","THIẾU ID",IF(COUNTIF($A$8:$A$193,A136)&gt;1,"TRÙNG ID",IF(COUNTIF(HANG_MUC!$A$6:$A$50,B136)=0,"SAI HẠNG MỤC","OK"))))</x:f>
        <x:v>OK</x:v>
      </x:c>
    </x:row>
    <x:row r="137">
      <x:c r="A137" s="33" t="str">
        <x:f>IF(OR(B137="",D137=""),"",B137&amp;"-"&amp;IF(OR(C137="",C137="-"),"X",UPPER(C137))&amp;"-"&amp;TEXT(D137,"00"))</x:f>
        <x:v>PB-DOI-NAMNU45-A-03</x:v>
      </x:c>
      <x:c r="B137" s="26" t="str">
        <x:v>PB-DOI-NAMNU45</x:v>
      </x:c>
      <x:c r="C137" s="26" t="str">
        <x:v>A</x:v>
      </x:c>
      <x:c r="D137" s="35" t="n">
        <x:v>3</x:v>
      </x:c>
      <x:c r="E137" s="28" t="str"/>
      <x:c r="F137" s="28" t="str"/>
      <x:c r="G137" s="28" t="str"/>
      <x:c r="H137" s="28" t="str"/>
      <x:c r="I137" s="28" t="str"/>
      <x:c r="J137" s="28" t="str"/>
      <x:c r="K137" s="28" t="str">
        <x:v>PDF scan: điền tên theo danh sách gốc</x:v>
      </x:c>
      <x:c r="L137" s="33" t="n">
        <x:v>26</x:v>
      </x:c>
      <x:c r="M137" s="33" t="str">
        <x:f>IF(E137="","CHỜ NHẬP","ĐÃ CÓ DỮ LIỆU")</x:f>
        <x:v>CHỜ NHẬP</x:v>
      </x:c>
      <x:c r="N137" s="33" t="str">
        <x:f>IF(AND(B137="",E137=""),"",IF(A137="","THIẾU ID",IF(COUNTIF($A$8:$A$193,A137)&gt;1,"TRÙNG ID",IF(COUNTIF(HANG_MUC!$A$6:$A$50,B137)=0,"SAI HẠNG MỤC","OK"))))</x:f>
        <x:v>OK</x:v>
      </x:c>
    </x:row>
    <x:row r="138">
      <x:c r="A138" s="33" t="str">
        <x:f>IF(OR(B138="",D138=""),"",B138&amp;"-"&amp;IF(OR(C138="",C138="-"),"X",UPPER(C138))&amp;"-"&amp;TEXT(D138,"00"))</x:f>
        <x:v>PB-DOI-NAMNU45-B-01</x:v>
      </x:c>
      <x:c r="B138" s="26" t="str">
        <x:v>PB-DOI-NAMNU45</x:v>
      </x:c>
      <x:c r="C138" s="26" t="str">
        <x:v>B</x:v>
      </x:c>
      <x:c r="D138" s="35" t="n">
        <x:v>1</x:v>
      </x:c>
      <x:c r="E138" s="28" t="str"/>
      <x:c r="F138" s="28" t="str"/>
      <x:c r="G138" s="28" t="str"/>
      <x:c r="H138" s="28" t="str"/>
      <x:c r="I138" s="28" t="str"/>
      <x:c r="J138" s="28" t="str"/>
      <x:c r="K138" s="28" t="str">
        <x:v>PDF scan: điền tên theo danh sách gốc</x:v>
      </x:c>
      <x:c r="L138" s="33" t="n">
        <x:v>26</x:v>
      </x:c>
      <x:c r="M138" s="33" t="str">
        <x:f>IF(E138="","CHỜ NHẬP","ĐÃ CÓ DỮ LIỆU")</x:f>
        <x:v>CHỜ NHẬP</x:v>
      </x:c>
      <x:c r="N138" s="33" t="str">
        <x:f>IF(AND(B138="",E138=""),"",IF(A138="","THIẾU ID",IF(COUNTIF($A$8:$A$193,A138)&gt;1,"TRÙNG ID",IF(COUNTIF(HANG_MUC!$A$6:$A$50,B138)=0,"SAI HẠNG MỤC","OK"))))</x:f>
        <x:v>OK</x:v>
      </x:c>
    </x:row>
    <x:row r="139">
      <x:c r="A139" s="33" t="str">
        <x:f>IF(OR(B139="",D139=""),"",B139&amp;"-"&amp;IF(OR(C139="",C139="-"),"X",UPPER(C139))&amp;"-"&amp;TEXT(D139,"00"))</x:f>
        <x:v>PB-DOI-NAMNU45-B-02</x:v>
      </x:c>
      <x:c r="B139" s="26" t="str">
        <x:v>PB-DOI-NAMNU45</x:v>
      </x:c>
      <x:c r="C139" s="26" t="str">
        <x:v>B</x:v>
      </x:c>
      <x:c r="D139" s="35" t="n">
        <x:v>2</x:v>
      </x:c>
      <x:c r="E139" s="28" t="str"/>
      <x:c r="F139" s="28" t="str"/>
      <x:c r="G139" s="28" t="str"/>
      <x:c r="H139" s="28" t="str"/>
      <x:c r="I139" s="28" t="str"/>
      <x:c r="J139" s="28" t="str"/>
      <x:c r="K139" s="28" t="str">
        <x:v>PDF scan: điền tên theo danh sách gốc</x:v>
      </x:c>
      <x:c r="L139" s="33" t="n">
        <x:v>26</x:v>
      </x:c>
      <x:c r="M139" s="33" t="str">
        <x:f>IF(E139="","CHỜ NHẬP","ĐÃ CÓ DỮ LIỆU")</x:f>
        <x:v>CHỜ NHẬP</x:v>
      </x:c>
      <x:c r="N139" s="33" t="str">
        <x:f>IF(AND(B139="",E139=""),"",IF(A139="","THIẾU ID",IF(COUNTIF($A$8:$A$193,A139)&gt;1,"TRÙNG ID",IF(COUNTIF(HANG_MUC!$A$6:$A$50,B139)=0,"SAI HẠNG MỤC","OK"))))</x:f>
        <x:v>OK</x:v>
      </x:c>
    </x:row>
    <x:row r="140">
      <x:c r="A140" s="33" t="str">
        <x:f>IF(OR(B140="",D140=""),"",B140&amp;"-"&amp;IF(OR(C140="",C140="-"),"X",UPPER(C140))&amp;"-"&amp;TEXT(D140,"00"))</x:f>
        <x:v>PB-DOI-NAMNU45-B-03</x:v>
      </x:c>
      <x:c r="B140" s="26" t="str">
        <x:v>PB-DOI-NAMNU45</x:v>
      </x:c>
      <x:c r="C140" s="26" t="str">
        <x:v>B</x:v>
      </x:c>
      <x:c r="D140" s="35" t="n">
        <x:v>3</x:v>
      </x:c>
      <x:c r="E140" s="28" t="str"/>
      <x:c r="F140" s="28" t="str"/>
      <x:c r="G140" s="28" t="str"/>
      <x:c r="H140" s="28" t="str"/>
      <x:c r="I140" s="28" t="str"/>
      <x:c r="J140" s="28" t="str"/>
      <x:c r="K140" s="28" t="str">
        <x:v>PDF scan: điền tên theo danh sách gốc</x:v>
      </x:c>
      <x:c r="L140" s="33" t="n">
        <x:v>26</x:v>
      </x:c>
      <x:c r="M140" s="33" t="str">
        <x:f>IF(E140="","CHỜ NHẬP","ĐÃ CÓ DỮ LIỆU")</x:f>
        <x:v>CHỜ NHẬP</x:v>
      </x:c>
      <x:c r="N140" s="33" t="str">
        <x:f>IF(AND(B140="",E140=""),"",IF(A140="","THIẾU ID",IF(COUNTIF($A$8:$A$193,A140)&gt;1,"TRÙNG ID",IF(COUNTIF(HANG_MUC!$A$6:$A$50,B140)=0,"SAI HẠNG MỤC","OK"))))</x:f>
        <x:v>OK</x:v>
      </x:c>
    </x:row>
    <x:row r="141">
      <x:c r="A141" s="33" t="str">
        <x:f>IF(OR(B141="",D141=""),"",B141&amp;"-"&amp;IF(OR(C141="",C141="-"),"X",UPPER(C141))&amp;"-"&amp;TEXT(D141,"00"))</x:f>
        <x:v>PB-DOI-NAMNU45-C-01</x:v>
      </x:c>
      <x:c r="B141" s="26" t="str">
        <x:v>PB-DOI-NAMNU45</x:v>
      </x:c>
      <x:c r="C141" s="26" t="str">
        <x:v>C</x:v>
      </x:c>
      <x:c r="D141" s="35" t="n">
        <x:v>1</x:v>
      </x:c>
      <x:c r="E141" s="28" t="str"/>
      <x:c r="F141" s="28" t="str"/>
      <x:c r="G141" s="28" t="str"/>
      <x:c r="H141" s="28" t="str"/>
      <x:c r="I141" s="28" t="str"/>
      <x:c r="J141" s="28" t="str"/>
      <x:c r="K141" s="28" t="str">
        <x:v>PDF scan: điền tên theo danh sách gốc</x:v>
      </x:c>
      <x:c r="L141" s="33" t="n">
        <x:v>26</x:v>
      </x:c>
      <x:c r="M141" s="33" t="str">
        <x:f>IF(E141="","CHỜ NHẬP","ĐÃ CÓ DỮ LIỆU")</x:f>
        <x:v>CHỜ NHẬP</x:v>
      </x:c>
      <x:c r="N141" s="33" t="str">
        <x:f>IF(AND(B141="",E141=""),"",IF(A141="","THIẾU ID",IF(COUNTIF($A$8:$A$193,A141)&gt;1,"TRÙNG ID",IF(COUNTIF(HANG_MUC!$A$6:$A$50,B141)=0,"SAI HẠNG MỤC","OK"))))</x:f>
        <x:v>OK</x:v>
      </x:c>
    </x:row>
    <x:row r="142">
      <x:c r="A142" s="33" t="str">
        <x:f>IF(OR(B142="",D142=""),"",B142&amp;"-"&amp;IF(OR(C142="",C142="-"),"X",UPPER(C142))&amp;"-"&amp;TEXT(D142,"00"))</x:f>
        <x:v>PB-DOI-NAMNU45-C-02</x:v>
      </x:c>
      <x:c r="B142" s="26" t="str">
        <x:v>PB-DOI-NAMNU45</x:v>
      </x:c>
      <x:c r="C142" s="26" t="str">
        <x:v>C</x:v>
      </x:c>
      <x:c r="D142" s="35" t="n">
        <x:v>2</x:v>
      </x:c>
      <x:c r="E142" s="28" t="str"/>
      <x:c r="F142" s="28" t="str"/>
      <x:c r="G142" s="28" t="str"/>
      <x:c r="H142" s="28" t="str"/>
      <x:c r="I142" s="28" t="str"/>
      <x:c r="J142" s="28" t="str"/>
      <x:c r="K142" s="28" t="str">
        <x:v>PDF scan: điền tên theo danh sách gốc</x:v>
      </x:c>
      <x:c r="L142" s="33" t="n">
        <x:v>26</x:v>
      </x:c>
      <x:c r="M142" s="33" t="str">
        <x:f>IF(E142="","CHỜ NHẬP","ĐÃ CÓ DỮ LIỆU")</x:f>
        <x:v>CHỜ NHẬP</x:v>
      </x:c>
      <x:c r="N142" s="33" t="str">
        <x:f>IF(AND(B142="",E142=""),"",IF(A142="","THIẾU ID",IF(COUNTIF($A$8:$A$193,A142)&gt;1,"TRÙNG ID",IF(COUNTIF(HANG_MUC!$A$6:$A$50,B142)=0,"SAI HẠNG MỤC","OK"))))</x:f>
        <x:v>OK</x:v>
      </x:c>
    </x:row>
    <x:row r="143">
      <x:c r="A143" s="33" t="str">
        <x:f>IF(OR(B143="",D143=""),"",B143&amp;"-"&amp;IF(OR(C143="",C143="-"),"X",UPPER(C143))&amp;"-"&amp;TEXT(D143,"00"))</x:f>
        <x:v>PB-DOI-NAMNU45-C-03</x:v>
      </x:c>
      <x:c r="B143" s="26" t="str">
        <x:v>PB-DOI-NAMNU45</x:v>
      </x:c>
      <x:c r="C143" s="26" t="str">
        <x:v>C</x:v>
      </x:c>
      <x:c r="D143" s="35" t="n">
        <x:v>3</x:v>
      </x:c>
      <x:c r="E143" s="28" t="str"/>
      <x:c r="F143" s="28" t="str"/>
      <x:c r="G143" s="28" t="str"/>
      <x:c r="H143" s="28" t="str"/>
      <x:c r="I143" s="28" t="str"/>
      <x:c r="J143" s="28" t="str"/>
      <x:c r="K143" s="28" t="str">
        <x:v>PDF scan: điền tên theo danh sách gốc</x:v>
      </x:c>
      <x:c r="L143" s="33" t="n">
        <x:v>26</x:v>
      </x:c>
      <x:c r="M143" s="33" t="str">
        <x:f>IF(E143="","CHỜ NHẬP","ĐÃ CÓ DỮ LIỆU")</x:f>
        <x:v>CHỜ NHẬP</x:v>
      </x:c>
      <x:c r="N143" s="33" t="str">
        <x:f>IF(AND(B143="",E143=""),"",IF(A143="","THIẾU ID",IF(COUNTIF($A$8:$A$193,A143)&gt;1,"TRÙNG ID",IF(COUNTIF(HANG_MUC!$A$6:$A$50,B143)=0,"SAI HẠNG MỤC","OK"))))</x:f>
        <x:v>OK</x:v>
      </x:c>
    </x:row>
    <x:row r="144">
      <x:c r="A144" s="33" t="str">
        <x:f>IF(OR(B144="",D144=""),"",B144&amp;"-"&amp;IF(OR(C144="",C144="-"),"X",UPPER(C144))&amp;"-"&amp;TEXT(D144,"00"))</x:f>
        <x:v>PB-DOI-NAMNU45-D-01</x:v>
      </x:c>
      <x:c r="B144" s="26" t="str">
        <x:v>PB-DOI-NAMNU45</x:v>
      </x:c>
      <x:c r="C144" s="26" t="str">
        <x:v>D</x:v>
      </x:c>
      <x:c r="D144" s="35" t="n">
        <x:v>1</x:v>
      </x:c>
      <x:c r="E144" s="28" t="str"/>
      <x:c r="F144" s="28" t="str"/>
      <x:c r="G144" s="28" t="str"/>
      <x:c r="H144" s="28" t="str"/>
      <x:c r="I144" s="28" t="str"/>
      <x:c r="J144" s="28" t="str"/>
      <x:c r="K144" s="28" t="str">
        <x:v>PDF scan: điền tên theo danh sách gốc</x:v>
      </x:c>
      <x:c r="L144" s="33" t="n">
        <x:v>26</x:v>
      </x:c>
      <x:c r="M144" s="33" t="str">
        <x:f>IF(E144="","CHỜ NHẬP","ĐÃ CÓ DỮ LIỆU")</x:f>
        <x:v>CHỜ NHẬP</x:v>
      </x:c>
      <x:c r="N144" s="33" t="str">
        <x:f>IF(AND(B144="",E144=""),"",IF(A144="","THIẾU ID",IF(COUNTIF($A$8:$A$193,A144)&gt;1,"TRÙNG ID",IF(COUNTIF(HANG_MUC!$A$6:$A$50,B144)=0,"SAI HẠNG MỤC","OK"))))</x:f>
        <x:v>OK</x:v>
      </x:c>
    </x:row>
    <x:row r="145">
      <x:c r="A145" s="33" t="str">
        <x:f>IF(OR(B145="",D145=""),"",B145&amp;"-"&amp;IF(OR(C145="",C145="-"),"X",UPPER(C145))&amp;"-"&amp;TEXT(D145,"00"))</x:f>
        <x:v>PB-DOI-NAMNU45-D-02</x:v>
      </x:c>
      <x:c r="B145" s="26" t="str">
        <x:v>PB-DOI-NAMNU45</x:v>
      </x:c>
      <x:c r="C145" s="26" t="str">
        <x:v>D</x:v>
      </x:c>
      <x:c r="D145" s="35" t="n">
        <x:v>2</x:v>
      </x:c>
      <x:c r="E145" s="28" t="str"/>
      <x:c r="F145" s="28" t="str"/>
      <x:c r="G145" s="28" t="str"/>
      <x:c r="H145" s="28" t="str"/>
      <x:c r="I145" s="28" t="str"/>
      <x:c r="J145" s="28" t="str"/>
      <x:c r="K145" s="28" t="str">
        <x:v>PDF scan: điền tên theo danh sách gốc</x:v>
      </x:c>
      <x:c r="L145" s="33" t="n">
        <x:v>26</x:v>
      </x:c>
      <x:c r="M145" s="33" t="str">
        <x:f>IF(E145="","CHỜ NHẬP","ĐÃ CÓ DỮ LIỆU")</x:f>
        <x:v>CHỜ NHẬP</x:v>
      </x:c>
      <x:c r="N145" s="33" t="str">
        <x:f>IF(AND(B145="",E145=""),"",IF(A145="","THIẾU ID",IF(COUNTIF($A$8:$A$193,A145)&gt;1,"TRÙNG ID",IF(COUNTIF(HANG_MUC!$A$6:$A$50,B145)=0,"SAI HẠNG MỤC","OK"))))</x:f>
        <x:v>OK</x:v>
      </x:c>
    </x:row>
    <x:row r="146">
      <x:c r="A146" s="33" t="str">
        <x:f>IF(OR(B146="",D146=""),"",B146&amp;"-"&amp;IF(OR(C146="",C146="-"),"X",UPPER(C146))&amp;"-"&amp;TEXT(D146,"00"))</x:f>
        <x:v>PB-DOI-NAMNU45-D-03</x:v>
      </x:c>
      <x:c r="B146" s="26" t="str">
        <x:v>PB-DOI-NAMNU45</x:v>
      </x:c>
      <x:c r="C146" s="26" t="str">
        <x:v>D</x:v>
      </x:c>
      <x:c r="D146" s="35" t="n">
        <x:v>3</x:v>
      </x:c>
      <x:c r="E146" s="28" t="str"/>
      <x:c r="F146" s="28" t="str"/>
      <x:c r="G146" s="28" t="str"/>
      <x:c r="H146" s="28" t="str"/>
      <x:c r="I146" s="28" t="str"/>
      <x:c r="J146" s="28" t="str"/>
      <x:c r="K146" s="28" t="str">
        <x:v>PDF scan: điền tên theo danh sách gốc</x:v>
      </x:c>
      <x:c r="L146" s="33" t="n">
        <x:v>26</x:v>
      </x:c>
      <x:c r="M146" s="33" t="str">
        <x:f>IF(E146="","CHỜ NHẬP","ĐÃ CÓ DỮ LIỆU")</x:f>
        <x:v>CHỜ NHẬP</x:v>
      </x:c>
      <x:c r="N146" s="33" t="str">
        <x:f>IF(AND(B146="",E146=""),"",IF(A146="","THIẾU ID",IF(COUNTIF($A$8:$A$193,A146)&gt;1,"TRÙNG ID",IF(COUNTIF(HANG_MUC!$A$6:$A$50,B146)=0,"SAI HẠNG MỤC","OK"))))</x:f>
        <x:v>OK</x:v>
      </x:c>
    </x:row>
    <x:row r="147">
      <x:c r="A147" s="33" t="str">
        <x:f>IF(OR(B147="",D147=""),"",B147&amp;"-"&amp;IF(OR(C147="",C147="-"),"X",UPPER(C147))&amp;"-"&amp;TEXT(D147,"00"))</x:f>
        <x:v>PB-DOI-NAMNU45-E-01</x:v>
      </x:c>
      <x:c r="B147" s="26" t="str">
        <x:v>PB-DOI-NAMNU45</x:v>
      </x:c>
      <x:c r="C147" s="26" t="str">
        <x:v>E</x:v>
      </x:c>
      <x:c r="D147" s="35" t="n">
        <x:v>1</x:v>
      </x:c>
      <x:c r="E147" s="28" t="str"/>
      <x:c r="F147" s="28" t="str"/>
      <x:c r="G147" s="28" t="str"/>
      <x:c r="H147" s="28" t="str"/>
      <x:c r="I147" s="28" t="str"/>
      <x:c r="J147" s="28" t="str"/>
      <x:c r="K147" s="28" t="str">
        <x:v>PDF scan: điền tên theo danh sách gốc</x:v>
      </x:c>
      <x:c r="L147" s="33" t="n">
        <x:v>26</x:v>
      </x:c>
      <x:c r="M147" s="33" t="str">
        <x:f>IF(E147="","CHỜ NHẬP","ĐÃ CÓ DỮ LIỆU")</x:f>
        <x:v>CHỜ NHẬP</x:v>
      </x:c>
      <x:c r="N147" s="33" t="str">
        <x:f>IF(AND(B147="",E147=""),"",IF(A147="","THIẾU ID",IF(COUNTIF($A$8:$A$193,A147)&gt;1,"TRÙNG ID",IF(COUNTIF(HANG_MUC!$A$6:$A$50,B147)=0,"SAI HẠNG MỤC","OK"))))</x:f>
        <x:v>OK</x:v>
      </x:c>
    </x:row>
    <x:row r="148">
      <x:c r="A148" s="33" t="str">
        <x:f>IF(OR(B148="",D148=""),"",B148&amp;"-"&amp;IF(OR(C148="",C148="-"),"X",UPPER(C148))&amp;"-"&amp;TEXT(D148,"00"))</x:f>
        <x:v>PB-DOI-NAMNU45-E-02</x:v>
      </x:c>
      <x:c r="B148" s="26" t="str">
        <x:v>PB-DOI-NAMNU45</x:v>
      </x:c>
      <x:c r="C148" s="26" t="str">
        <x:v>E</x:v>
      </x:c>
      <x:c r="D148" s="35" t="n">
        <x:v>2</x:v>
      </x:c>
      <x:c r="E148" s="28" t="str"/>
      <x:c r="F148" s="28" t="str"/>
      <x:c r="G148" s="28" t="str"/>
      <x:c r="H148" s="28" t="str"/>
      <x:c r="I148" s="28" t="str"/>
      <x:c r="J148" s="28" t="str"/>
      <x:c r="K148" s="28" t="str">
        <x:v>PDF scan: điền tên theo danh sách gốc</x:v>
      </x:c>
      <x:c r="L148" s="33" t="n">
        <x:v>26</x:v>
      </x:c>
      <x:c r="M148" s="33" t="str">
        <x:f>IF(E148="","CHỜ NHẬP","ĐÃ CÓ DỮ LIỆU")</x:f>
        <x:v>CHỜ NHẬP</x:v>
      </x:c>
      <x:c r="N148" s="33" t="str">
        <x:f>IF(AND(B148="",E148=""),"",IF(A148="","THIẾU ID",IF(COUNTIF($A$8:$A$193,A148)&gt;1,"TRÙNG ID",IF(COUNTIF(HANG_MUC!$A$6:$A$50,B148)=0,"SAI HẠNG MỤC","OK"))))</x:f>
        <x:v>OK</x:v>
      </x:c>
    </x:row>
    <x:row r="149">
      <x:c r="A149" s="33" t="str">
        <x:f>IF(OR(B149="",D149=""),"",B149&amp;"-"&amp;IF(OR(C149="",C149="-"),"X",UPPER(C149))&amp;"-"&amp;TEXT(D149,"00"))</x:f>
        <x:v>PB-DOI-NAMNU45-E-03</x:v>
      </x:c>
      <x:c r="B149" s="26" t="str">
        <x:v>PB-DOI-NAMNU45</x:v>
      </x:c>
      <x:c r="C149" s="26" t="str">
        <x:v>E</x:v>
      </x:c>
      <x:c r="D149" s="35" t="n">
        <x:v>3</x:v>
      </x:c>
      <x:c r="E149" s="28" t="str"/>
      <x:c r="F149" s="28" t="str"/>
      <x:c r="G149" s="28" t="str"/>
      <x:c r="H149" s="28" t="str"/>
      <x:c r="I149" s="28" t="str"/>
      <x:c r="J149" s="28" t="str"/>
      <x:c r="K149" s="28" t="str">
        <x:v>PDF scan: điền tên theo danh sách gốc</x:v>
      </x:c>
      <x:c r="L149" s="33" t="n">
        <x:v>26</x:v>
      </x:c>
      <x:c r="M149" s="33" t="str">
        <x:f>IF(E149="","CHỜ NHẬP","ĐÃ CÓ DỮ LIỆU")</x:f>
        <x:v>CHỜ NHẬP</x:v>
      </x:c>
      <x:c r="N149" s="33" t="str">
        <x:f>IF(AND(B149="",E149=""),"",IF(A149="","THIẾU ID",IF(COUNTIF($A$8:$A$193,A149)&gt;1,"TRÙNG ID",IF(COUNTIF(HANG_MUC!$A$6:$A$50,B149)=0,"SAI HẠNG MỤC","OK"))))</x:f>
        <x:v>OK</x:v>
      </x:c>
    </x:row>
    <x:row r="150">
      <x:c r="A150" s="33" t="str">
        <x:f>IF(OR(B150="",D150=""),"",B150&amp;"-"&amp;IF(OR(C150="",C150="-"),"X",UPPER(C150))&amp;"-"&amp;TEXT(D150,"00"))</x:f>
        <x:v>PB-DOI-NAMNU45-F-01</x:v>
      </x:c>
      <x:c r="B150" s="26" t="str">
        <x:v>PB-DOI-NAMNU45</x:v>
      </x:c>
      <x:c r="C150" s="26" t="str">
        <x:v>F</x:v>
      </x:c>
      <x:c r="D150" s="35" t="n">
        <x:v>1</x:v>
      </x:c>
      <x:c r="E150" s="28" t="str"/>
      <x:c r="F150" s="28" t="str"/>
      <x:c r="G150" s="28" t="str"/>
      <x:c r="H150" s="28" t="str"/>
      <x:c r="I150" s="28" t="str"/>
      <x:c r="J150" s="28" t="str"/>
      <x:c r="K150" s="28" t="str">
        <x:v>PDF scan: điền tên theo danh sách gốc</x:v>
      </x:c>
      <x:c r="L150" s="33" t="n">
        <x:v>26</x:v>
      </x:c>
      <x:c r="M150" s="33" t="str">
        <x:f>IF(E150="","CHỜ NHẬP","ĐÃ CÓ DỮ LIỆU")</x:f>
        <x:v>CHỜ NHẬP</x:v>
      </x:c>
      <x:c r="N150" s="33" t="str">
        <x:f>IF(AND(B150="",E150=""),"",IF(A150="","THIẾU ID",IF(COUNTIF($A$8:$A$193,A150)&gt;1,"TRÙNG ID",IF(COUNTIF(HANG_MUC!$A$6:$A$50,B150)=0,"SAI HẠNG MỤC","OK"))))</x:f>
        <x:v>OK</x:v>
      </x:c>
    </x:row>
    <x:row r="151">
      <x:c r="A151" s="33" t="str">
        <x:f>IF(OR(B151="",D151=""),"",B151&amp;"-"&amp;IF(OR(C151="",C151="-"),"X",UPPER(C151))&amp;"-"&amp;TEXT(D151,"00"))</x:f>
        <x:v>PB-DOI-NAMNU45-F-02</x:v>
      </x:c>
      <x:c r="B151" s="26" t="str">
        <x:v>PB-DOI-NAMNU45</x:v>
      </x:c>
      <x:c r="C151" s="26" t="str">
        <x:v>F</x:v>
      </x:c>
      <x:c r="D151" s="35" t="n">
        <x:v>2</x:v>
      </x:c>
      <x:c r="E151" s="28" t="str"/>
      <x:c r="F151" s="28" t="str"/>
      <x:c r="G151" s="28" t="str"/>
      <x:c r="H151" s="28" t="str"/>
      <x:c r="I151" s="28" t="str"/>
      <x:c r="J151" s="28" t="str"/>
      <x:c r="K151" s="28" t="str">
        <x:v>PDF scan: điền tên theo danh sách gốc</x:v>
      </x:c>
      <x:c r="L151" s="33" t="n">
        <x:v>26</x:v>
      </x:c>
      <x:c r="M151" s="33" t="str">
        <x:f>IF(E151="","CHỜ NHẬP","ĐÃ CÓ DỮ LIỆU")</x:f>
        <x:v>CHỜ NHẬP</x:v>
      </x:c>
      <x:c r="N151" s="33" t="str">
        <x:f>IF(AND(B151="",E151=""),"",IF(A151="","THIẾU ID",IF(COUNTIF($A$8:$A$193,A151)&gt;1,"TRÙNG ID",IF(COUNTIF(HANG_MUC!$A$6:$A$50,B151)=0,"SAI HẠNG MỤC","OK"))))</x:f>
        <x:v>OK</x:v>
      </x:c>
    </x:row>
    <x:row r="152">
      <x:c r="A152" s="33" t="str">
        <x:f>IF(OR(B152="",D152=""),"",B152&amp;"-"&amp;IF(OR(C152="",C152="-"),"X",UPPER(C152))&amp;"-"&amp;TEXT(D152,"00"))</x:f>
        <x:v>PB-DOI-NAMNU45-F-03</x:v>
      </x:c>
      <x:c r="B152" s="26" t="str">
        <x:v>PB-DOI-NAMNU45</x:v>
      </x:c>
      <x:c r="C152" s="26" t="str">
        <x:v>F</x:v>
      </x:c>
      <x:c r="D152" s="35" t="n">
        <x:v>3</x:v>
      </x:c>
      <x:c r="E152" s="28" t="str"/>
      <x:c r="F152" s="28" t="str"/>
      <x:c r="G152" s="28" t="str"/>
      <x:c r="H152" s="28" t="str"/>
      <x:c r="I152" s="28" t="str"/>
      <x:c r="J152" s="28" t="str"/>
      <x:c r="K152" s="28" t="str">
        <x:v>PDF scan: điền tên theo danh sách gốc</x:v>
      </x:c>
      <x:c r="L152" s="33" t="n">
        <x:v>26</x:v>
      </x:c>
      <x:c r="M152" s="33" t="str">
        <x:f>IF(E152="","CHỜ NHẬP","ĐÃ CÓ DỮ LIỆU")</x:f>
        <x:v>CHỜ NHẬP</x:v>
      </x:c>
      <x:c r="N152" s="33" t="str">
        <x:f>IF(AND(B152="",E152=""),"",IF(A152="","THIẾU ID",IF(COUNTIF($A$8:$A$193,A152)&gt;1,"TRÙNG ID",IF(COUNTIF(HANG_MUC!$A$6:$A$50,B152)=0,"SAI HẠNG MỤC","OK"))))</x:f>
        <x:v>OK</x:v>
      </x:c>
    </x:row>
    <x:row r="153">
      <x:c r="A153" s="33" t="str">
        <x:f>IF(OR(B153="",D153=""),"",B153&amp;"-"&amp;IF(OR(C153="",C153="-"),"X",UPPER(C153))&amp;"-"&amp;TEXT(D153,"00"))</x:f>
        <x:v>PB-DOI-NAMNU45-G-01</x:v>
      </x:c>
      <x:c r="B153" s="26" t="str">
        <x:v>PB-DOI-NAMNU45</x:v>
      </x:c>
      <x:c r="C153" s="26" t="str">
        <x:v>G</x:v>
      </x:c>
      <x:c r="D153" s="35" t="n">
        <x:v>1</x:v>
      </x:c>
      <x:c r="E153" s="28" t="str"/>
      <x:c r="F153" s="28" t="str"/>
      <x:c r="G153" s="28" t="str"/>
      <x:c r="H153" s="28" t="str"/>
      <x:c r="I153" s="28" t="str"/>
      <x:c r="J153" s="28" t="str"/>
      <x:c r="K153" s="28" t="str">
        <x:v>PDF scan: điền tên theo danh sách gốc</x:v>
      </x:c>
      <x:c r="L153" s="33" t="n">
        <x:v>26</x:v>
      </x:c>
      <x:c r="M153" s="33" t="str">
        <x:f>IF(E153="","CHỜ NHẬP","ĐÃ CÓ DỮ LIỆU")</x:f>
        <x:v>CHỜ NHẬP</x:v>
      </x:c>
      <x:c r="N153" s="33" t="str">
        <x:f>IF(AND(B153="",E153=""),"",IF(A153="","THIẾU ID",IF(COUNTIF($A$8:$A$193,A153)&gt;1,"TRÙNG ID",IF(COUNTIF(HANG_MUC!$A$6:$A$50,B153)=0,"SAI HẠNG MỤC","OK"))))</x:f>
        <x:v>OK</x:v>
      </x:c>
    </x:row>
    <x:row r="154">
      <x:c r="A154" s="33" t="str">
        <x:f>IF(OR(B154="",D154=""),"",B154&amp;"-"&amp;IF(OR(C154="",C154="-"),"X",UPPER(C154))&amp;"-"&amp;TEXT(D154,"00"))</x:f>
        <x:v>PB-DOI-NAMNU45-G-02</x:v>
      </x:c>
      <x:c r="B154" s="26" t="str">
        <x:v>PB-DOI-NAMNU45</x:v>
      </x:c>
      <x:c r="C154" s="26" t="str">
        <x:v>G</x:v>
      </x:c>
      <x:c r="D154" s="35" t="n">
        <x:v>2</x:v>
      </x:c>
      <x:c r="E154" s="28" t="str"/>
      <x:c r="F154" s="28" t="str"/>
      <x:c r="G154" s="28" t="str"/>
      <x:c r="H154" s="28" t="str"/>
      <x:c r="I154" s="28" t="str"/>
      <x:c r="J154" s="28" t="str"/>
      <x:c r="K154" s="28" t="str">
        <x:v>PDF scan: điền tên theo danh sách gốc</x:v>
      </x:c>
      <x:c r="L154" s="33" t="n">
        <x:v>26</x:v>
      </x:c>
      <x:c r="M154" s="33" t="str">
        <x:f>IF(E154="","CHỜ NHẬP","ĐÃ CÓ DỮ LIỆU")</x:f>
        <x:v>CHỜ NHẬP</x:v>
      </x:c>
      <x:c r="N154" s="33" t="str">
        <x:f>IF(AND(B154="",E154=""),"",IF(A154="","THIẾU ID",IF(COUNTIF($A$8:$A$193,A154)&gt;1,"TRÙNG ID",IF(COUNTIF(HANG_MUC!$A$6:$A$50,B154)=0,"SAI HẠNG MỤC","OK"))))</x:f>
        <x:v>OK</x:v>
      </x:c>
    </x:row>
    <x:row r="155">
      <x:c r="A155" s="33" t="str">
        <x:f>IF(OR(B155="",D155=""),"",B155&amp;"-"&amp;IF(OR(C155="",C155="-"),"X",UPPER(C155))&amp;"-"&amp;TEXT(D155,"00"))</x:f>
        <x:v>PB-DOI-NAMNU45-G-03</x:v>
      </x:c>
      <x:c r="B155" s="26" t="str">
        <x:v>PB-DOI-NAMNU45</x:v>
      </x:c>
      <x:c r="C155" s="26" t="str">
        <x:v>G</x:v>
      </x:c>
      <x:c r="D155" s="35" t="n">
        <x:v>3</x:v>
      </x:c>
      <x:c r="E155" s="28" t="str"/>
      <x:c r="F155" s="28" t="str"/>
      <x:c r="G155" s="28" t="str"/>
      <x:c r="H155" s="28" t="str"/>
      <x:c r="I155" s="28" t="str"/>
      <x:c r="J155" s="28" t="str"/>
      <x:c r="K155" s="28" t="str">
        <x:v>PDF scan: điền tên theo danh sách gốc</x:v>
      </x:c>
      <x:c r="L155" s="33" t="n">
        <x:v>26</x:v>
      </x:c>
      <x:c r="M155" s="33" t="str">
        <x:f>IF(E155="","CHỜ NHẬP","ĐÃ CÓ DỮ LIỆU")</x:f>
        <x:v>CHỜ NHẬP</x:v>
      </x:c>
      <x:c r="N155" s="33" t="str">
        <x:f>IF(AND(B155="",E155=""),"",IF(A155="","THIẾU ID",IF(COUNTIF($A$8:$A$193,A155)&gt;1,"TRÙNG ID",IF(COUNTIF(HANG_MUC!$A$6:$A$50,B155)=0,"SAI HẠNG MỤC","OK"))))</x:f>
        <x:v>OK</x:v>
      </x:c>
    </x:row>
    <x:row r="156">
      <x:c r="A156" s="33" t="str">
        <x:f>IF(OR(B156="",D156=""),"",B156&amp;"-"&amp;IF(OR(C156="",C156="-"),"X",UPPER(C156))&amp;"-"&amp;TEXT(D156,"00"))</x:f>
        <x:v>PB-DOI-NAMNU45-G-04</x:v>
      </x:c>
      <x:c r="B156" s="26" t="str">
        <x:v>PB-DOI-NAMNU45</x:v>
      </x:c>
      <x:c r="C156" s="26" t="str">
        <x:v>G</x:v>
      </x:c>
      <x:c r="D156" s="35" t="n">
        <x:v>4</x:v>
      </x:c>
      <x:c r="E156" s="28" t="str"/>
      <x:c r="F156" s="28" t="str"/>
      <x:c r="G156" s="28" t="str"/>
      <x:c r="H156" s="28" t="str"/>
      <x:c r="I156" s="28" t="str"/>
      <x:c r="J156" s="28" t="str"/>
      <x:c r="K156" s="28" t="str">
        <x:v>PDF scan: điền tên theo danh sách gốc</x:v>
      </x:c>
      <x:c r="L156" s="33" t="n">
        <x:v>26</x:v>
      </x:c>
      <x:c r="M156" s="33" t="str">
        <x:f>IF(E156="","CHỜ NHẬP","ĐÃ CÓ DỮ LIỆU")</x:f>
        <x:v>CHỜ NHẬP</x:v>
      </x:c>
      <x:c r="N156" s="33" t="str">
        <x:f>IF(AND(B156="",E156=""),"",IF(A156="","THIẾU ID",IF(COUNTIF($A$8:$A$193,A156)&gt;1,"TRÙNG ID",IF(COUNTIF(HANG_MUC!$A$6:$A$50,B156)=0,"SAI HẠNG MỤC","OK"))))</x:f>
        <x:v>OK</x:v>
      </x:c>
    </x:row>
    <x:row r="157">
      <x:c r="A157" s="33" t="str">
        <x:f>IF(OR(B157="",D157=""),"",B157&amp;"-"&amp;IF(OR(C157="",C157="-"),"X",UPPER(C157))&amp;"-"&amp;TEXT(D157,"00"))</x:f>
        <x:v>PB-DOI-NAMNU45-H-01</x:v>
      </x:c>
      <x:c r="B157" s="26" t="str">
        <x:v>PB-DOI-NAMNU45</x:v>
      </x:c>
      <x:c r="C157" s="26" t="str">
        <x:v>H</x:v>
      </x:c>
      <x:c r="D157" s="35" t="n">
        <x:v>1</x:v>
      </x:c>
      <x:c r="E157" s="28" t="str"/>
      <x:c r="F157" s="28" t="str"/>
      <x:c r="G157" s="28" t="str"/>
      <x:c r="H157" s="28" t="str"/>
      <x:c r="I157" s="28" t="str"/>
      <x:c r="J157" s="28" t="str"/>
      <x:c r="K157" s="28" t="str">
        <x:v>PDF scan: điền tên theo danh sách gốc</x:v>
      </x:c>
      <x:c r="L157" s="33" t="n">
        <x:v>26</x:v>
      </x:c>
      <x:c r="M157" s="33" t="str">
        <x:f>IF(E157="","CHỜ NHẬP","ĐÃ CÓ DỮ LIỆU")</x:f>
        <x:v>CHỜ NHẬP</x:v>
      </x:c>
      <x:c r="N157" s="33" t="str">
        <x:f>IF(AND(B157="",E157=""),"",IF(A157="","THIẾU ID",IF(COUNTIF($A$8:$A$193,A157)&gt;1,"TRÙNG ID",IF(COUNTIF(HANG_MUC!$A$6:$A$50,B157)=0,"SAI HẠNG MỤC","OK"))))</x:f>
        <x:v>OK</x:v>
      </x:c>
    </x:row>
    <x:row r="158">
      <x:c r="A158" s="33" t="str">
        <x:f>IF(OR(B158="",D158=""),"",B158&amp;"-"&amp;IF(OR(C158="",C158="-"),"X",UPPER(C158))&amp;"-"&amp;TEXT(D158,"00"))</x:f>
        <x:v>PB-DOI-NAMNU45-H-02</x:v>
      </x:c>
      <x:c r="B158" s="26" t="str">
        <x:v>PB-DOI-NAMNU45</x:v>
      </x:c>
      <x:c r="C158" s="26" t="str">
        <x:v>H</x:v>
      </x:c>
      <x:c r="D158" s="35" t="n">
        <x:v>2</x:v>
      </x:c>
      <x:c r="E158" s="28" t="str"/>
      <x:c r="F158" s="28" t="str"/>
      <x:c r="G158" s="28" t="str"/>
      <x:c r="H158" s="28" t="str"/>
      <x:c r="I158" s="28" t="str"/>
      <x:c r="J158" s="28" t="str"/>
      <x:c r="K158" s="28" t="str">
        <x:v>PDF scan: điền tên theo danh sách gốc</x:v>
      </x:c>
      <x:c r="L158" s="33" t="n">
        <x:v>26</x:v>
      </x:c>
      <x:c r="M158" s="33" t="str">
        <x:f>IF(E158="","CHỜ NHẬP","ĐÃ CÓ DỮ LIỆU")</x:f>
        <x:v>CHỜ NHẬP</x:v>
      </x:c>
      <x:c r="N158" s="33" t="str">
        <x:f>IF(AND(B158="",E158=""),"",IF(A158="","THIẾU ID",IF(COUNTIF($A$8:$A$193,A158)&gt;1,"TRÙNG ID",IF(COUNTIF(HANG_MUC!$A$6:$A$50,B158)=0,"SAI HẠNG MỤC","OK"))))</x:f>
        <x:v>OK</x:v>
      </x:c>
    </x:row>
    <x:row r="159">
      <x:c r="A159" s="33" t="str">
        <x:f>IF(OR(B159="",D159=""),"",B159&amp;"-"&amp;IF(OR(C159="",C159="-"),"X",UPPER(C159))&amp;"-"&amp;TEXT(D159,"00"))</x:f>
        <x:v>PB-DOI-NAMNU45-H-03</x:v>
      </x:c>
      <x:c r="B159" s="26" t="str">
        <x:v>PB-DOI-NAMNU45</x:v>
      </x:c>
      <x:c r="C159" s="26" t="str">
        <x:v>H</x:v>
      </x:c>
      <x:c r="D159" s="35" t="n">
        <x:v>3</x:v>
      </x:c>
      <x:c r="E159" s="28" t="str"/>
      <x:c r="F159" s="28" t="str"/>
      <x:c r="G159" s="28" t="str"/>
      <x:c r="H159" s="28" t="str"/>
      <x:c r="I159" s="28" t="str"/>
      <x:c r="J159" s="28" t="str"/>
      <x:c r="K159" s="28" t="str">
        <x:v>PDF scan: điền tên theo danh sách gốc</x:v>
      </x:c>
      <x:c r="L159" s="33" t="n">
        <x:v>26</x:v>
      </x:c>
      <x:c r="M159" s="33" t="str">
        <x:f>IF(E159="","CHỜ NHẬP","ĐÃ CÓ DỮ LIỆU")</x:f>
        <x:v>CHỜ NHẬP</x:v>
      </x:c>
      <x:c r="N159" s="33" t="str">
        <x:f>IF(AND(B159="",E159=""),"",IF(A159="","THIẾU ID",IF(COUNTIF($A$8:$A$193,A159)&gt;1,"TRÙNG ID",IF(COUNTIF(HANG_MUC!$A$6:$A$50,B159)=0,"SAI HẠNG MỤC","OK"))))</x:f>
        <x:v>OK</x:v>
      </x:c>
    </x:row>
    <x:row r="160">
      <x:c r="A160" s="33" t="str">
        <x:f>IF(OR(B160="",D160=""),"",B160&amp;"-"&amp;IF(OR(C160="",C160="-"),"X",UPPER(C160))&amp;"-"&amp;TEXT(D160,"00"))</x:f>
        <x:v>PB-DOI-NAMNU45-H-04</x:v>
      </x:c>
      <x:c r="B160" s="26" t="str">
        <x:v>PB-DOI-NAMNU45</x:v>
      </x:c>
      <x:c r="C160" s="26" t="str">
        <x:v>H</x:v>
      </x:c>
      <x:c r="D160" s="35" t="n">
        <x:v>4</x:v>
      </x:c>
      <x:c r="E160" s="28" t="str"/>
      <x:c r="F160" s="28" t="str"/>
      <x:c r="G160" s="28" t="str"/>
      <x:c r="H160" s="28" t="str"/>
      <x:c r="I160" s="28" t="str"/>
      <x:c r="J160" s="28" t="str"/>
      <x:c r="K160" s="28" t="str">
        <x:v>PDF scan: điền tên theo danh sách gốc</x:v>
      </x:c>
      <x:c r="L160" s="33" t="n">
        <x:v>26</x:v>
      </x:c>
      <x:c r="M160" s="33" t="str">
        <x:f>IF(E160="","CHỜ NHẬP","ĐÃ CÓ DỮ LIỆU")</x:f>
        <x:v>CHỜ NHẬP</x:v>
      </x:c>
      <x:c r="N160" s="33" t="str">
        <x:f>IF(AND(B160="",E160=""),"",IF(A160="","THIẾU ID",IF(COUNTIF($A$8:$A$193,A160)&gt;1,"TRÙNG ID",IF(COUNTIF(HANG_MUC!$A$6:$A$50,B160)=0,"SAI HẠNG MỤC","OK"))))</x:f>
        <x:v>OK</x:v>
      </x:c>
    </x:row>
    <x:row r="161">
      <x:c r="A161" s="33" t="str">
        <x:f>IF(OR(B161="",D161=""),"",B161&amp;"-"&amp;IF(OR(C161="",C161="-"),"X",UPPER(C161))&amp;"-"&amp;TEXT(D161,"00"))</x:f>
        <x:v>PB-DOI-NAMNU46-A-01</x:v>
      </x:c>
      <x:c r="B161" s="26" t="str">
        <x:v>PB-DOI-NAMNU46</x:v>
      </x:c>
      <x:c r="C161" s="26" t="str">
        <x:v>A</x:v>
      </x:c>
      <x:c r="D161" s="35" t="n">
        <x:v>1</x:v>
      </x:c>
      <x:c r="E161" s="28" t="str"/>
      <x:c r="F161" s="28" t="str"/>
      <x:c r="G161" s="28" t="str"/>
      <x:c r="H161" s="28" t="str"/>
      <x:c r="I161" s="28" t="str"/>
      <x:c r="J161" s="28" t="str"/>
      <x:c r="K161" s="28" t="str">
        <x:v>PDF scan: điền tên theo danh sách gốc</x:v>
      </x:c>
      <x:c r="L161" s="33" t="n">
        <x:v>31</x:v>
      </x:c>
      <x:c r="M161" s="33" t="str">
        <x:f>IF(E161="","CHỜ NHẬP","ĐÃ CÓ DỮ LIỆU")</x:f>
        <x:v>CHỜ NHẬP</x:v>
      </x:c>
      <x:c r="N161" s="33" t="str">
        <x:f>IF(AND(B161="",E161=""),"",IF(A161="","THIẾU ID",IF(COUNTIF($A$8:$A$193,A161)&gt;1,"TRÙNG ID",IF(COUNTIF(HANG_MUC!$A$6:$A$50,B161)=0,"SAI HẠNG MỤC","OK"))))</x:f>
        <x:v>OK</x:v>
      </x:c>
    </x:row>
    <x:row r="162">
      <x:c r="A162" s="33" t="str">
        <x:f>IF(OR(B162="",D162=""),"",B162&amp;"-"&amp;IF(OR(C162="",C162="-"),"X",UPPER(C162))&amp;"-"&amp;TEXT(D162,"00"))</x:f>
        <x:v>PB-DOI-NAMNU46-A-02</x:v>
      </x:c>
      <x:c r="B162" s="26" t="str">
        <x:v>PB-DOI-NAMNU46</x:v>
      </x:c>
      <x:c r="C162" s="26" t="str">
        <x:v>A</x:v>
      </x:c>
      <x:c r="D162" s="35" t="n">
        <x:v>2</x:v>
      </x:c>
      <x:c r="E162" s="28" t="str"/>
      <x:c r="F162" s="28" t="str"/>
      <x:c r="G162" s="28" t="str"/>
      <x:c r="H162" s="28" t="str"/>
      <x:c r="I162" s="28" t="str"/>
      <x:c r="J162" s="28" t="str"/>
      <x:c r="K162" s="28" t="str">
        <x:v>PDF scan: điền tên theo danh sách gốc</x:v>
      </x:c>
      <x:c r="L162" s="33" t="n">
        <x:v>31</x:v>
      </x:c>
      <x:c r="M162" s="33" t="str">
        <x:f>IF(E162="","CHỜ NHẬP","ĐÃ CÓ DỮ LIỆU")</x:f>
        <x:v>CHỜ NHẬP</x:v>
      </x:c>
      <x:c r="N162" s="33" t="str">
        <x:f>IF(AND(B162="",E162=""),"",IF(A162="","THIẾU ID",IF(COUNTIF($A$8:$A$193,A162)&gt;1,"TRÙNG ID",IF(COUNTIF(HANG_MUC!$A$6:$A$50,B162)=0,"SAI HẠNG MỤC","OK"))))</x:f>
        <x:v>OK</x:v>
      </x:c>
    </x:row>
    <x:row r="163">
      <x:c r="A163" s="33" t="str">
        <x:f>IF(OR(B163="",D163=""),"",B163&amp;"-"&amp;IF(OR(C163="",C163="-"),"X",UPPER(C163))&amp;"-"&amp;TEXT(D163,"00"))</x:f>
        <x:v>PB-DOI-NAMNU46-A-03</x:v>
      </x:c>
      <x:c r="B163" s="26" t="str">
        <x:v>PB-DOI-NAMNU46</x:v>
      </x:c>
      <x:c r="C163" s="26" t="str">
        <x:v>A</x:v>
      </x:c>
      <x:c r="D163" s="35" t="n">
        <x:v>3</x:v>
      </x:c>
      <x:c r="E163" s="28" t="str"/>
      <x:c r="F163" s="28" t="str"/>
      <x:c r="G163" s="28" t="str"/>
      <x:c r="H163" s="28" t="str"/>
      <x:c r="I163" s="28" t="str"/>
      <x:c r="J163" s="28" t="str"/>
      <x:c r="K163" s="28" t="str">
        <x:v>PDF scan: điền tên theo danh sách gốc</x:v>
      </x:c>
      <x:c r="L163" s="33" t="n">
        <x:v>31</x:v>
      </x:c>
      <x:c r="M163" s="33" t="str">
        <x:f>IF(E163="","CHỜ NHẬP","ĐÃ CÓ DỮ LIỆU")</x:f>
        <x:v>CHỜ NHẬP</x:v>
      </x:c>
      <x:c r="N163" s="33" t="str">
        <x:f>IF(AND(B163="",E163=""),"",IF(A163="","THIẾU ID",IF(COUNTIF($A$8:$A$193,A163)&gt;1,"TRÙNG ID",IF(COUNTIF(HANG_MUC!$A$6:$A$50,B163)=0,"SAI HẠNG MỤC","OK"))))</x:f>
        <x:v>OK</x:v>
      </x:c>
    </x:row>
    <x:row r="164">
      <x:c r="A164" s="33" t="str">
        <x:f>IF(OR(B164="",D164=""),"",B164&amp;"-"&amp;IF(OR(C164="",C164="-"),"X",UPPER(C164))&amp;"-"&amp;TEXT(D164,"00"))</x:f>
        <x:v>PB-DOI-NAMNU46-A-04</x:v>
      </x:c>
      <x:c r="B164" s="26" t="str">
        <x:v>PB-DOI-NAMNU46</x:v>
      </x:c>
      <x:c r="C164" s="26" t="str">
        <x:v>A</x:v>
      </x:c>
      <x:c r="D164" s="35" t="n">
        <x:v>4</x:v>
      </x:c>
      <x:c r="E164" s="28" t="str"/>
      <x:c r="F164" s="28" t="str"/>
      <x:c r="G164" s="28" t="str"/>
      <x:c r="H164" s="28" t="str"/>
      <x:c r="I164" s="28" t="str"/>
      <x:c r="J164" s="28" t="str"/>
      <x:c r="K164" s="28" t="str">
        <x:v>PDF scan: điền tên theo danh sách gốc</x:v>
      </x:c>
      <x:c r="L164" s="33" t="n">
        <x:v>31</x:v>
      </x:c>
      <x:c r="M164" s="33" t="str">
        <x:f>IF(E164="","CHỜ NHẬP","ĐÃ CÓ DỮ LIỆU")</x:f>
        <x:v>CHỜ NHẬP</x:v>
      </x:c>
      <x:c r="N164" s="33" t="str">
        <x:f>IF(AND(B164="",E164=""),"",IF(A164="","THIẾU ID",IF(COUNTIF($A$8:$A$193,A164)&gt;1,"TRÙNG ID",IF(COUNTIF(HANG_MUC!$A$6:$A$50,B164)=0,"SAI HẠNG MỤC","OK"))))</x:f>
        <x:v>OK</x:v>
      </x:c>
    </x:row>
    <x:row r="165">
      <x:c r="A165" s="33" t="str">
        <x:f>IF(OR(B165="",D165=""),"",B165&amp;"-"&amp;IF(OR(C165="",C165="-"),"X",UPPER(C165))&amp;"-"&amp;TEXT(D165,"00"))</x:f>
        <x:v>PB-DOI-NAMNU46-B-01</x:v>
      </x:c>
      <x:c r="B165" s="26" t="str">
        <x:v>PB-DOI-NAMNU46</x:v>
      </x:c>
      <x:c r="C165" s="26" t="str">
        <x:v>B</x:v>
      </x:c>
      <x:c r="D165" s="35" t="n">
        <x:v>1</x:v>
      </x:c>
      <x:c r="E165" s="28" t="str"/>
      <x:c r="F165" s="28" t="str"/>
      <x:c r="G165" s="28" t="str"/>
      <x:c r="H165" s="28" t="str"/>
      <x:c r="I165" s="28" t="str"/>
      <x:c r="J165" s="28" t="str"/>
      <x:c r="K165" s="28" t="str">
        <x:v>PDF scan: điền tên theo danh sách gốc</x:v>
      </x:c>
      <x:c r="L165" s="33" t="n">
        <x:v>31</x:v>
      </x:c>
      <x:c r="M165" s="33" t="str">
        <x:f>IF(E165="","CHỜ NHẬP","ĐÃ CÓ DỮ LIỆU")</x:f>
        <x:v>CHỜ NHẬP</x:v>
      </x:c>
      <x:c r="N165" s="33" t="str">
        <x:f>IF(AND(B165="",E165=""),"",IF(A165="","THIẾU ID",IF(COUNTIF($A$8:$A$193,A165)&gt;1,"TRÙNG ID",IF(COUNTIF(HANG_MUC!$A$6:$A$50,B165)=0,"SAI HẠNG MỤC","OK"))))</x:f>
        <x:v>OK</x:v>
      </x:c>
    </x:row>
    <x:row r="166">
      <x:c r="A166" s="33" t="str">
        <x:f>IF(OR(B166="",D166=""),"",B166&amp;"-"&amp;IF(OR(C166="",C166="-"),"X",UPPER(C166))&amp;"-"&amp;TEXT(D166,"00"))</x:f>
        <x:v>PB-DOI-NAMNU46-B-02</x:v>
      </x:c>
      <x:c r="B166" s="26" t="str">
        <x:v>PB-DOI-NAMNU46</x:v>
      </x:c>
      <x:c r="C166" s="26" t="str">
        <x:v>B</x:v>
      </x:c>
      <x:c r="D166" s="35" t="n">
        <x:v>2</x:v>
      </x:c>
      <x:c r="E166" s="28" t="str"/>
      <x:c r="F166" s="28" t="str"/>
      <x:c r="G166" s="28" t="str"/>
      <x:c r="H166" s="28" t="str"/>
      <x:c r="I166" s="28" t="str"/>
      <x:c r="J166" s="28" t="str"/>
      <x:c r="K166" s="28" t="str">
        <x:v>PDF scan: điền tên theo danh sách gốc</x:v>
      </x:c>
      <x:c r="L166" s="33" t="n">
        <x:v>31</x:v>
      </x:c>
      <x:c r="M166" s="33" t="str">
        <x:f>IF(E166="","CHỜ NHẬP","ĐÃ CÓ DỮ LIỆU")</x:f>
        <x:v>CHỜ NHẬP</x:v>
      </x:c>
      <x:c r="N166" s="33" t="str">
        <x:f>IF(AND(B166="",E166=""),"",IF(A166="","THIẾU ID",IF(COUNTIF($A$8:$A$193,A166)&gt;1,"TRÙNG ID",IF(COUNTIF(HANG_MUC!$A$6:$A$50,B166)=0,"SAI HẠNG MỤC","OK"))))</x:f>
        <x:v>OK</x:v>
      </x:c>
    </x:row>
    <x:row r="167">
      <x:c r="A167" s="33" t="str">
        <x:f>IF(OR(B167="",D167=""),"",B167&amp;"-"&amp;IF(OR(C167="",C167="-"),"X",UPPER(C167))&amp;"-"&amp;TEXT(D167,"00"))</x:f>
        <x:v>PB-DOI-NAMNU46-B-03</x:v>
      </x:c>
      <x:c r="B167" s="26" t="str">
        <x:v>PB-DOI-NAMNU46</x:v>
      </x:c>
      <x:c r="C167" s="26" t="str">
        <x:v>B</x:v>
      </x:c>
      <x:c r="D167" s="35" t="n">
        <x:v>3</x:v>
      </x:c>
      <x:c r="E167" s="28" t="str"/>
      <x:c r="F167" s="28" t="str"/>
      <x:c r="G167" s="28" t="str"/>
      <x:c r="H167" s="28" t="str"/>
      <x:c r="I167" s="28" t="str"/>
      <x:c r="J167" s="28" t="str"/>
      <x:c r="K167" s="28" t="str">
        <x:v>PDF scan: điền tên theo danh sách gốc</x:v>
      </x:c>
      <x:c r="L167" s="33" t="n">
        <x:v>31</x:v>
      </x:c>
      <x:c r="M167" s="33" t="str">
        <x:f>IF(E167="","CHỜ NHẬP","ĐÃ CÓ DỮ LIỆU")</x:f>
        <x:v>CHỜ NHẬP</x:v>
      </x:c>
      <x:c r="N167" s="33" t="str">
        <x:f>IF(AND(B167="",E167=""),"",IF(A167="","THIẾU ID",IF(COUNTIF($A$8:$A$193,A167)&gt;1,"TRÙNG ID",IF(COUNTIF(HANG_MUC!$A$6:$A$50,B167)=0,"SAI HẠNG MỤC","OK"))))</x:f>
        <x:v>OK</x:v>
      </x:c>
    </x:row>
    <x:row r="168">
      <x:c r="A168" s="33" t="str">
        <x:f>IF(OR(B168="",D168=""),"",B168&amp;"-"&amp;IF(OR(C168="",C168="-"),"X",UPPER(C168))&amp;"-"&amp;TEXT(D168,"00"))</x:f>
        <x:v>PB-DOI-NAMNU46-C-01</x:v>
      </x:c>
      <x:c r="B168" s="26" t="str">
        <x:v>PB-DOI-NAMNU46</x:v>
      </x:c>
      <x:c r="C168" s="26" t="str">
        <x:v>C</x:v>
      </x:c>
      <x:c r="D168" s="35" t="n">
        <x:v>1</x:v>
      </x:c>
      <x:c r="E168" s="28" t="str"/>
      <x:c r="F168" s="28" t="str"/>
      <x:c r="G168" s="28" t="str"/>
      <x:c r="H168" s="28" t="str"/>
      <x:c r="I168" s="28" t="str"/>
      <x:c r="J168" s="28" t="str"/>
      <x:c r="K168" s="28" t="str">
        <x:v>PDF scan: điền tên theo danh sách gốc</x:v>
      </x:c>
      <x:c r="L168" s="33" t="n">
        <x:v>31</x:v>
      </x:c>
      <x:c r="M168" s="33" t="str">
        <x:f>IF(E168="","CHỜ NHẬP","ĐÃ CÓ DỮ LIỆU")</x:f>
        <x:v>CHỜ NHẬP</x:v>
      </x:c>
      <x:c r="N168" s="33" t="str">
        <x:f>IF(AND(B168="",E168=""),"",IF(A168="","THIẾU ID",IF(COUNTIF($A$8:$A$193,A168)&gt;1,"TRÙNG ID",IF(COUNTIF(HANG_MUC!$A$6:$A$50,B168)=0,"SAI HẠNG MỤC","OK"))))</x:f>
        <x:v>OK</x:v>
      </x:c>
    </x:row>
    <x:row r="169">
      <x:c r="A169" s="33" t="str">
        <x:f>IF(OR(B169="",D169=""),"",B169&amp;"-"&amp;IF(OR(C169="",C169="-"),"X",UPPER(C169))&amp;"-"&amp;TEXT(D169,"00"))</x:f>
        <x:v>PB-DOI-NAMNU46-C-02</x:v>
      </x:c>
      <x:c r="B169" s="26" t="str">
        <x:v>PB-DOI-NAMNU46</x:v>
      </x:c>
      <x:c r="C169" s="26" t="str">
        <x:v>C</x:v>
      </x:c>
      <x:c r="D169" s="35" t="n">
        <x:v>2</x:v>
      </x:c>
      <x:c r="E169" s="28" t="str"/>
      <x:c r="F169" s="28" t="str"/>
      <x:c r="G169" s="28" t="str"/>
      <x:c r="H169" s="28" t="str"/>
      <x:c r="I169" s="28" t="str"/>
      <x:c r="J169" s="28" t="str"/>
      <x:c r="K169" s="28" t="str">
        <x:v>PDF scan: điền tên theo danh sách gốc</x:v>
      </x:c>
      <x:c r="L169" s="33" t="n">
        <x:v>31</x:v>
      </x:c>
      <x:c r="M169" s="33" t="str">
        <x:f>IF(E169="","CHỜ NHẬP","ĐÃ CÓ DỮ LIỆU")</x:f>
        <x:v>CHỜ NHẬP</x:v>
      </x:c>
      <x:c r="N169" s="33" t="str">
        <x:f>IF(AND(B169="",E169=""),"",IF(A169="","THIẾU ID",IF(COUNTIF($A$8:$A$193,A169)&gt;1,"TRÙNG ID",IF(COUNTIF(HANG_MUC!$A$6:$A$50,B169)=0,"SAI HẠNG MỤC","OK"))))</x:f>
        <x:v>OK</x:v>
      </x:c>
    </x:row>
    <x:row r="170">
      <x:c r="A170" s="33" t="str">
        <x:f>IF(OR(B170="",D170=""),"",B170&amp;"-"&amp;IF(OR(C170="",C170="-"),"X",UPPER(C170))&amp;"-"&amp;TEXT(D170,"00"))</x:f>
        <x:v>PB-DOI-NAMNU46-C-03</x:v>
      </x:c>
      <x:c r="B170" s="26" t="str">
        <x:v>PB-DOI-NAMNU46</x:v>
      </x:c>
      <x:c r="C170" s="26" t="str">
        <x:v>C</x:v>
      </x:c>
      <x:c r="D170" s="35" t="n">
        <x:v>3</x:v>
      </x:c>
      <x:c r="E170" s="28" t="str"/>
      <x:c r="F170" s="28" t="str"/>
      <x:c r="G170" s="28" t="str"/>
      <x:c r="H170" s="28" t="str"/>
      <x:c r="I170" s="28" t="str"/>
      <x:c r="J170" s="28" t="str"/>
      <x:c r="K170" s="28" t="str">
        <x:v>PDF scan: điền tên theo danh sách gốc</x:v>
      </x:c>
      <x:c r="L170" s="33" t="n">
        <x:v>31</x:v>
      </x:c>
      <x:c r="M170" s="33" t="str">
        <x:f>IF(E170="","CHỜ NHẬP","ĐÃ CÓ DỮ LIỆU")</x:f>
        <x:v>CHỜ NHẬP</x:v>
      </x:c>
      <x:c r="N170" s="33" t="str">
        <x:f>IF(AND(B170="",E170=""),"",IF(A170="","THIẾU ID",IF(COUNTIF($A$8:$A$193,A170)&gt;1,"TRÙNG ID",IF(COUNTIF(HANG_MUC!$A$6:$A$50,B170)=0,"SAI HẠNG MỤC","OK"))))</x:f>
        <x:v>OK</x:v>
      </x:c>
    </x:row>
    <x:row r="171">
      <x:c r="A171" s="33" t="str">
        <x:f>IF(OR(B171="",D171=""),"",B171&amp;"-"&amp;IF(OR(C171="",C171="-"),"X",UPPER(C171))&amp;"-"&amp;TEXT(D171,"00"))</x:f>
        <x:v>PB-DOI-NAMNU46-D-01</x:v>
      </x:c>
      <x:c r="B171" s="26" t="str">
        <x:v>PB-DOI-NAMNU46</x:v>
      </x:c>
      <x:c r="C171" s="26" t="str">
        <x:v>D</x:v>
      </x:c>
      <x:c r="D171" s="35" t="n">
        <x:v>1</x:v>
      </x:c>
      <x:c r="E171" s="28" t="str"/>
      <x:c r="F171" s="28" t="str"/>
      <x:c r="G171" s="28" t="str"/>
      <x:c r="H171" s="28" t="str"/>
      <x:c r="I171" s="28" t="str"/>
      <x:c r="J171" s="28" t="str"/>
      <x:c r="K171" s="28" t="str">
        <x:v>PDF scan: điền tên theo danh sách gốc</x:v>
      </x:c>
      <x:c r="L171" s="33" t="n">
        <x:v>31</x:v>
      </x:c>
      <x:c r="M171" s="33" t="str">
        <x:f>IF(E171="","CHỜ NHẬP","ĐÃ CÓ DỮ LIỆU")</x:f>
        <x:v>CHỜ NHẬP</x:v>
      </x:c>
      <x:c r="N171" s="33" t="str">
        <x:f>IF(AND(B171="",E171=""),"",IF(A171="","THIẾU ID",IF(COUNTIF($A$8:$A$193,A171)&gt;1,"TRÙNG ID",IF(COUNTIF(HANG_MUC!$A$6:$A$50,B171)=0,"SAI HẠNG MỤC","OK"))))</x:f>
        <x:v>OK</x:v>
      </x:c>
    </x:row>
    <x:row r="172">
      <x:c r="A172" s="33" t="str">
        <x:f>IF(OR(B172="",D172=""),"",B172&amp;"-"&amp;IF(OR(C172="",C172="-"),"X",UPPER(C172))&amp;"-"&amp;TEXT(D172,"00"))</x:f>
        <x:v>PB-DOI-NAMNU46-D-02</x:v>
      </x:c>
      <x:c r="B172" s="26" t="str">
        <x:v>PB-DOI-NAMNU46</x:v>
      </x:c>
      <x:c r="C172" s="26" t="str">
        <x:v>D</x:v>
      </x:c>
      <x:c r="D172" s="35" t="n">
        <x:v>2</x:v>
      </x:c>
      <x:c r="E172" s="28" t="str"/>
      <x:c r="F172" s="28" t="str"/>
      <x:c r="G172" s="28" t="str"/>
      <x:c r="H172" s="28" t="str"/>
      <x:c r="I172" s="28" t="str"/>
      <x:c r="J172" s="28" t="str"/>
      <x:c r="K172" s="28" t="str">
        <x:v>PDF scan: điền tên theo danh sách gốc</x:v>
      </x:c>
      <x:c r="L172" s="33" t="n">
        <x:v>31</x:v>
      </x:c>
      <x:c r="M172" s="33" t="str">
        <x:f>IF(E172="","CHỜ NHẬP","ĐÃ CÓ DỮ LIỆU")</x:f>
        <x:v>CHỜ NHẬP</x:v>
      </x:c>
      <x:c r="N172" s="33" t="str">
        <x:f>IF(AND(B172="",E172=""),"",IF(A172="","THIẾU ID",IF(COUNTIF($A$8:$A$193,A172)&gt;1,"TRÙNG ID",IF(COUNTIF(HANG_MUC!$A$6:$A$50,B172)=0,"SAI HẠNG MỤC","OK"))))</x:f>
        <x:v>OK</x:v>
      </x:c>
    </x:row>
    <x:row r="173">
      <x:c r="A173" s="33" t="str">
        <x:f>IF(OR(B173="",D173=""),"",B173&amp;"-"&amp;IF(OR(C173="",C173="-"),"X",UPPER(C173))&amp;"-"&amp;TEXT(D173,"00"))</x:f>
        <x:v>PB-DOI-NAMNU46-D-03</x:v>
      </x:c>
      <x:c r="B173" s="26" t="str">
        <x:v>PB-DOI-NAMNU46</x:v>
      </x:c>
      <x:c r="C173" s="26" t="str">
        <x:v>D</x:v>
      </x:c>
      <x:c r="D173" s="35" t="n">
        <x:v>3</x:v>
      </x:c>
      <x:c r="E173" s="28" t="str"/>
      <x:c r="F173" s="28" t="str"/>
      <x:c r="G173" s="28" t="str"/>
      <x:c r="H173" s="28" t="str"/>
      <x:c r="I173" s="28" t="str"/>
      <x:c r="J173" s="28" t="str"/>
      <x:c r="K173" s="28" t="str">
        <x:v>PDF scan: điền tên theo danh sách gốc</x:v>
      </x:c>
      <x:c r="L173" s="33" t="n">
        <x:v>31</x:v>
      </x:c>
      <x:c r="M173" s="33" t="str">
        <x:f>IF(E173="","CHỜ NHẬP","ĐÃ CÓ DỮ LIỆU")</x:f>
        <x:v>CHỜ NHẬP</x:v>
      </x:c>
      <x:c r="N173" s="33" t="str">
        <x:f>IF(AND(B173="",E173=""),"",IF(A173="","THIẾU ID",IF(COUNTIF($A$8:$A$193,A173)&gt;1,"TRÙNG ID",IF(COUNTIF(HANG_MUC!$A$6:$A$50,B173)=0,"SAI HẠNG MỤC","OK"))))</x:f>
        <x:v>OK</x:v>
      </x:c>
    </x:row>
    <x:row r="174">
      <x:c r="A174" s="33" t="str">
        <x:f>IF(OR(B174="",D174=""),"",B174&amp;"-"&amp;IF(OR(C174="",C174="-"),"X",UPPER(C174))&amp;"-"&amp;TEXT(D174,"00"))</x:f>
      </x:c>
      <x:c r="B174" s="26"/>
      <x:c r="C174" s="26"/>
      <x:c r="D174" s="35"/>
      <x:c r="E174" s="28"/>
      <x:c r="F174" s="28"/>
      <x:c r="G174" s="28"/>
      <x:c r="H174" s="28"/>
      <x:c r="I174" s="28"/>
      <x:c r="J174" s="28"/>
      <x:c r="K174" s="28"/>
      <x:c r="L174" s="33"/>
      <x:c r="M174" s="33" t="str">
        <x:f>IF(E174="","CHỜ NHẬP","ĐÃ CÓ DỮ LIỆU")</x:f>
        <x:v>CHỜ NHẬP</x:v>
      </x:c>
      <x:c r="N174" s="33" t="str">
        <x:f>IF(AND(B174="",E174=""),"",IF(A174="","THIẾU ID",IF(COUNTIF($A$8:$A$193,A174)&gt;1,"TRÙNG ID",IF(COUNTIF(HANG_MUC!$A$6:$A$50,B174)=0,"SAI HẠNG MỤC","OK"))))</x:f>
      </x:c>
    </x:row>
    <x:row r="175">
      <x:c r="A175" s="33" t="str">
        <x:f>IF(OR(B175="",D175=""),"",B175&amp;"-"&amp;IF(OR(C175="",C175="-"),"X",UPPER(C175))&amp;"-"&amp;TEXT(D175,"00"))</x:f>
      </x:c>
      <x:c r="B175" s="26"/>
      <x:c r="C175" s="26"/>
      <x:c r="D175" s="35"/>
      <x:c r="E175" s="28"/>
      <x:c r="F175" s="28"/>
      <x:c r="G175" s="28"/>
      <x:c r="H175" s="28"/>
      <x:c r="I175" s="28"/>
      <x:c r="J175" s="28"/>
      <x:c r="K175" s="28"/>
      <x:c r="L175" s="33"/>
      <x:c r="M175" s="33" t="str">
        <x:f>IF(E175="","CHỜ NHẬP","ĐÃ CÓ DỮ LIỆU")</x:f>
        <x:v>CHỜ NHẬP</x:v>
      </x:c>
      <x:c r="N175" s="33" t="str">
        <x:f>IF(AND(B175="",E175=""),"",IF(A175="","THIẾU ID",IF(COUNTIF($A$8:$A$193,A175)&gt;1,"TRÙNG ID",IF(COUNTIF(HANG_MUC!$A$6:$A$50,B175)=0,"SAI HẠNG MỤC","OK"))))</x:f>
      </x:c>
    </x:row>
    <x:row r="176">
      <x:c r="A176" s="33" t="str">
        <x:f>IF(OR(B176="",D176=""),"",B176&amp;"-"&amp;IF(OR(C176="",C176="-"),"X",UPPER(C176))&amp;"-"&amp;TEXT(D176,"00"))</x:f>
      </x:c>
      <x:c r="B176" s="26"/>
      <x:c r="C176" s="26"/>
      <x:c r="D176" s="35"/>
      <x:c r="E176" s="28"/>
      <x:c r="F176" s="28"/>
      <x:c r="G176" s="28"/>
      <x:c r="H176" s="28"/>
      <x:c r="I176" s="28"/>
      <x:c r="J176" s="28"/>
      <x:c r="K176" s="28"/>
      <x:c r="L176" s="33"/>
      <x:c r="M176" s="33" t="str">
        <x:f>IF(E176="","CHỜ NHẬP","ĐÃ CÓ DỮ LIỆU")</x:f>
        <x:v>CHỜ NHẬP</x:v>
      </x:c>
      <x:c r="N176" s="33" t="str">
        <x:f>IF(AND(B176="",E176=""),"",IF(A176="","THIẾU ID",IF(COUNTIF($A$8:$A$193,A176)&gt;1,"TRÙNG ID",IF(COUNTIF(HANG_MUC!$A$6:$A$50,B176)=0,"SAI HẠNG MỤC","OK"))))</x:f>
      </x:c>
    </x:row>
    <x:row r="177">
      <x:c r="A177" s="33" t="str">
        <x:f>IF(OR(B177="",D177=""),"",B177&amp;"-"&amp;IF(OR(C177="",C177="-"),"X",UPPER(C177))&amp;"-"&amp;TEXT(D177,"00"))</x:f>
      </x:c>
      <x:c r="B177" s="26"/>
      <x:c r="C177" s="26"/>
      <x:c r="D177" s="35"/>
      <x:c r="E177" s="28"/>
      <x:c r="F177" s="28"/>
      <x:c r="G177" s="28"/>
      <x:c r="H177" s="28"/>
      <x:c r="I177" s="28"/>
      <x:c r="J177" s="28"/>
      <x:c r="K177" s="28"/>
      <x:c r="L177" s="33"/>
      <x:c r="M177" s="33" t="str">
        <x:f>IF(E177="","CHỜ NHẬP","ĐÃ CÓ DỮ LIỆU")</x:f>
        <x:v>CHỜ NHẬP</x:v>
      </x:c>
      <x:c r="N177" s="33" t="str">
        <x:f>IF(AND(B177="",E177=""),"",IF(A177="","THIẾU ID",IF(COUNTIF($A$8:$A$193,A177)&gt;1,"TRÙNG ID",IF(COUNTIF(HANG_MUC!$A$6:$A$50,B177)=0,"SAI HẠNG MỤC","OK"))))</x:f>
      </x:c>
    </x:row>
    <x:row r="178">
      <x:c r="A178" s="33" t="str">
        <x:f>IF(OR(B178="",D178=""),"",B178&amp;"-"&amp;IF(OR(C178="",C178="-"),"X",UPPER(C178))&amp;"-"&amp;TEXT(D178,"00"))</x:f>
      </x:c>
      <x:c r="B178" s="26"/>
      <x:c r="C178" s="26"/>
      <x:c r="D178" s="35"/>
      <x:c r="E178" s="28"/>
      <x:c r="F178" s="28"/>
      <x:c r="G178" s="28"/>
      <x:c r="H178" s="28"/>
      <x:c r="I178" s="28"/>
      <x:c r="J178" s="28"/>
      <x:c r="K178" s="28"/>
      <x:c r="L178" s="33"/>
      <x:c r="M178" s="33" t="str">
        <x:f>IF(E178="","CHỜ NHẬP","ĐÃ CÓ DỮ LIỆU")</x:f>
        <x:v>CHỜ NHẬP</x:v>
      </x:c>
      <x:c r="N178" s="33" t="str">
        <x:f>IF(AND(B178="",E178=""),"",IF(A178="","THIẾU ID",IF(COUNTIF($A$8:$A$193,A178)&gt;1,"TRÙNG ID",IF(COUNTIF(HANG_MUC!$A$6:$A$50,B178)=0,"SAI HẠNG MỤC","OK"))))</x:f>
      </x:c>
    </x:row>
    <x:row r="179">
      <x:c r="A179" s="33" t="str">
        <x:f>IF(OR(B179="",D179=""),"",B179&amp;"-"&amp;IF(OR(C179="",C179="-"),"X",UPPER(C179))&amp;"-"&amp;TEXT(D179,"00"))</x:f>
      </x:c>
      <x:c r="B179" s="26"/>
      <x:c r="C179" s="26"/>
      <x:c r="D179" s="35"/>
      <x:c r="E179" s="28"/>
      <x:c r="F179" s="28"/>
      <x:c r="G179" s="28"/>
      <x:c r="H179" s="28"/>
      <x:c r="I179" s="28"/>
      <x:c r="J179" s="28"/>
      <x:c r="K179" s="28"/>
      <x:c r="L179" s="33"/>
      <x:c r="M179" s="33" t="str">
        <x:f>IF(E179="","CHỜ NHẬP","ĐÃ CÓ DỮ LIỆU")</x:f>
        <x:v>CHỜ NHẬP</x:v>
      </x:c>
      <x:c r="N179" s="33" t="str">
        <x:f>IF(AND(B179="",E179=""),"",IF(A179="","THIẾU ID",IF(COUNTIF($A$8:$A$193,A179)&gt;1,"TRÙNG ID",IF(COUNTIF(HANG_MUC!$A$6:$A$50,B179)=0,"SAI HẠNG MỤC","OK"))))</x:f>
      </x:c>
    </x:row>
    <x:row r="180">
      <x:c r="A180" s="33" t="str">
        <x:f>IF(OR(B180="",D180=""),"",B180&amp;"-"&amp;IF(OR(C180="",C180="-"),"X",UPPER(C180))&amp;"-"&amp;TEXT(D180,"00"))</x:f>
      </x:c>
      <x:c r="B180" s="26"/>
      <x:c r="C180" s="26"/>
      <x:c r="D180" s="35"/>
      <x:c r="E180" s="28"/>
      <x:c r="F180" s="28"/>
      <x:c r="G180" s="28"/>
      <x:c r="H180" s="28"/>
      <x:c r="I180" s="28"/>
      <x:c r="J180" s="28"/>
      <x:c r="K180" s="28"/>
      <x:c r="L180" s="33"/>
      <x:c r="M180" s="33" t="str">
        <x:f>IF(E180="","CHỜ NHẬP","ĐÃ CÓ DỮ LIỆU")</x:f>
        <x:v>CHỜ NHẬP</x:v>
      </x:c>
      <x:c r="N180" s="33" t="str">
        <x:f>IF(AND(B180="",E180=""),"",IF(A180="","THIẾU ID",IF(COUNTIF($A$8:$A$193,A180)&gt;1,"TRÙNG ID",IF(COUNTIF(HANG_MUC!$A$6:$A$50,B180)=0,"SAI HẠNG MỤC","OK"))))</x:f>
      </x:c>
    </x:row>
    <x:row r="181">
      <x:c r="A181" s="33" t="str">
        <x:f>IF(OR(B181="",D181=""),"",B181&amp;"-"&amp;IF(OR(C181="",C181="-"),"X",UPPER(C181))&amp;"-"&amp;TEXT(D181,"00"))</x:f>
      </x:c>
      <x:c r="B181" s="26"/>
      <x:c r="C181" s="26"/>
      <x:c r="D181" s="35"/>
      <x:c r="E181" s="28"/>
      <x:c r="F181" s="28"/>
      <x:c r="G181" s="28"/>
      <x:c r="H181" s="28"/>
      <x:c r="I181" s="28"/>
      <x:c r="J181" s="28"/>
      <x:c r="K181" s="28"/>
      <x:c r="L181" s="33"/>
      <x:c r="M181" s="33" t="str">
        <x:f>IF(E181="","CHỜ NHẬP","ĐÃ CÓ DỮ LIỆU")</x:f>
        <x:v>CHỜ NHẬP</x:v>
      </x:c>
      <x:c r="N181" s="33" t="str">
        <x:f>IF(AND(B181="",E181=""),"",IF(A181="","THIẾU ID",IF(COUNTIF($A$8:$A$193,A181)&gt;1,"TRÙNG ID",IF(COUNTIF(HANG_MUC!$A$6:$A$50,B181)=0,"SAI HẠNG MỤC","OK"))))</x:f>
      </x:c>
    </x:row>
    <x:row r="182">
      <x:c r="A182" s="33" t="str">
        <x:f>IF(OR(B182="",D182=""),"",B182&amp;"-"&amp;IF(OR(C182="",C182="-"),"X",UPPER(C182))&amp;"-"&amp;TEXT(D182,"00"))</x:f>
      </x:c>
      <x:c r="B182" s="26"/>
      <x:c r="C182" s="26"/>
      <x:c r="D182" s="35"/>
      <x:c r="E182" s="28"/>
      <x:c r="F182" s="28"/>
      <x:c r="G182" s="28"/>
      <x:c r="H182" s="28"/>
      <x:c r="I182" s="28"/>
      <x:c r="J182" s="28"/>
      <x:c r="K182" s="28"/>
      <x:c r="L182" s="33"/>
      <x:c r="M182" s="33" t="str">
        <x:f>IF(E182="","CHỜ NHẬP","ĐÃ CÓ DỮ LIỆU")</x:f>
        <x:v>CHỜ NHẬP</x:v>
      </x:c>
      <x:c r="N182" s="33" t="str">
        <x:f>IF(AND(B182="",E182=""),"",IF(A182="","THIẾU ID",IF(COUNTIF($A$8:$A$193,A182)&gt;1,"TRÙNG ID",IF(COUNTIF(HANG_MUC!$A$6:$A$50,B182)=0,"SAI HẠNG MỤC","OK"))))</x:f>
      </x:c>
    </x:row>
    <x:row r="183">
      <x:c r="A183" s="33" t="str">
        <x:f>IF(OR(B183="",D183=""),"",B183&amp;"-"&amp;IF(OR(C183="",C183="-"),"X",UPPER(C183))&amp;"-"&amp;TEXT(D183,"00"))</x:f>
      </x:c>
      <x:c r="B183" s="26"/>
      <x:c r="C183" s="26"/>
      <x:c r="D183" s="35"/>
      <x:c r="E183" s="28"/>
      <x:c r="F183" s="28"/>
      <x:c r="G183" s="28"/>
      <x:c r="H183" s="28"/>
      <x:c r="I183" s="28"/>
      <x:c r="J183" s="28"/>
      <x:c r="K183" s="28"/>
      <x:c r="L183" s="33"/>
      <x:c r="M183" s="33" t="str">
        <x:f>IF(E183="","CHỜ NHẬP","ĐÃ CÓ DỮ LIỆU")</x:f>
        <x:v>CHỜ NHẬP</x:v>
      </x:c>
      <x:c r="N183" s="33" t="str">
        <x:f>IF(AND(B183="",E183=""),"",IF(A183="","THIẾU ID",IF(COUNTIF($A$8:$A$193,A183)&gt;1,"TRÙNG ID",IF(COUNTIF(HANG_MUC!$A$6:$A$50,B183)=0,"SAI HẠNG MỤC","OK"))))</x:f>
      </x:c>
    </x:row>
    <x:row r="184">
      <x:c r="A184" s="33" t="str">
        <x:f>IF(OR(B184="",D184=""),"",B184&amp;"-"&amp;IF(OR(C184="",C184="-"),"X",UPPER(C184))&amp;"-"&amp;TEXT(D184,"00"))</x:f>
      </x:c>
      <x:c r="B184" s="26"/>
      <x:c r="C184" s="26"/>
      <x:c r="D184" s="35"/>
      <x:c r="E184" s="28"/>
      <x:c r="F184" s="28"/>
      <x:c r="G184" s="28"/>
      <x:c r="H184" s="28"/>
      <x:c r="I184" s="28"/>
      <x:c r="J184" s="28"/>
      <x:c r="K184" s="28"/>
      <x:c r="L184" s="33"/>
      <x:c r="M184" s="33" t="str">
        <x:f>IF(E184="","CHỜ NHẬP","ĐÃ CÓ DỮ LIỆU")</x:f>
        <x:v>CHỜ NHẬP</x:v>
      </x:c>
      <x:c r="N184" s="33" t="str">
        <x:f>IF(AND(B184="",E184=""),"",IF(A184="","THIẾU ID",IF(COUNTIF($A$8:$A$193,A184)&gt;1,"TRÙNG ID",IF(COUNTIF(HANG_MUC!$A$6:$A$50,B184)=0,"SAI HẠNG MỤC","OK"))))</x:f>
      </x:c>
    </x:row>
    <x:row r="185">
      <x:c r="A185" s="33" t="str">
        <x:f>IF(OR(B185="",D185=""),"",B185&amp;"-"&amp;IF(OR(C185="",C185="-"),"X",UPPER(C185))&amp;"-"&amp;TEXT(D185,"00"))</x:f>
      </x:c>
      <x:c r="B185" s="26"/>
      <x:c r="C185" s="26"/>
      <x:c r="D185" s="35"/>
      <x:c r="E185" s="28"/>
      <x:c r="F185" s="28"/>
      <x:c r="G185" s="28"/>
      <x:c r="H185" s="28"/>
      <x:c r="I185" s="28"/>
      <x:c r="J185" s="28"/>
      <x:c r="K185" s="28"/>
      <x:c r="L185" s="33"/>
      <x:c r="M185" s="33" t="str">
        <x:f>IF(E185="","CHỜ NHẬP","ĐÃ CÓ DỮ LIỆU")</x:f>
        <x:v>CHỜ NHẬP</x:v>
      </x:c>
      <x:c r="N185" s="33" t="str">
        <x:f>IF(AND(B185="",E185=""),"",IF(A185="","THIẾU ID",IF(COUNTIF($A$8:$A$193,A185)&gt;1,"TRÙNG ID",IF(COUNTIF(HANG_MUC!$A$6:$A$50,B185)=0,"SAI HẠNG MỤC","OK"))))</x:f>
      </x:c>
    </x:row>
    <x:row r="186">
      <x:c r="A186" s="33" t="str">
        <x:f>IF(OR(B186="",D186=""),"",B186&amp;"-"&amp;IF(OR(C186="",C186="-"),"X",UPPER(C186))&amp;"-"&amp;TEXT(D186,"00"))</x:f>
      </x:c>
      <x:c r="B186" s="26"/>
      <x:c r="C186" s="26"/>
      <x:c r="D186" s="35"/>
      <x:c r="E186" s="28"/>
      <x:c r="F186" s="28"/>
      <x:c r="G186" s="28"/>
      <x:c r="H186" s="28"/>
      <x:c r="I186" s="28"/>
      <x:c r="J186" s="28"/>
      <x:c r="K186" s="28"/>
      <x:c r="L186" s="33"/>
      <x:c r="M186" s="33" t="str">
        <x:f>IF(E186="","CHỜ NHẬP","ĐÃ CÓ DỮ LIỆU")</x:f>
        <x:v>CHỜ NHẬP</x:v>
      </x:c>
      <x:c r="N186" s="33" t="str">
        <x:f>IF(AND(B186="",E186=""),"",IF(A186="","THIẾU ID",IF(COUNTIF($A$8:$A$193,A186)&gt;1,"TRÙNG ID",IF(COUNTIF(HANG_MUC!$A$6:$A$50,B186)=0,"SAI HẠNG MỤC","OK"))))</x:f>
      </x:c>
    </x:row>
    <x:row r="187">
      <x:c r="A187" s="33" t="str">
        <x:f>IF(OR(B187="",D187=""),"",B187&amp;"-"&amp;IF(OR(C187="",C187="-"),"X",UPPER(C187))&amp;"-"&amp;TEXT(D187,"00"))</x:f>
      </x:c>
      <x:c r="B187" s="26"/>
      <x:c r="C187" s="26"/>
      <x:c r="D187" s="35"/>
      <x:c r="E187" s="28"/>
      <x:c r="F187" s="28"/>
      <x:c r="G187" s="28"/>
      <x:c r="H187" s="28"/>
      <x:c r="I187" s="28"/>
      <x:c r="J187" s="28"/>
      <x:c r="K187" s="28"/>
      <x:c r="L187" s="33"/>
      <x:c r="M187" s="33" t="str">
        <x:f>IF(E187="","CHỜ NHẬP","ĐÃ CÓ DỮ LIỆU")</x:f>
        <x:v>CHỜ NHẬP</x:v>
      </x:c>
      <x:c r="N187" s="33" t="str">
        <x:f>IF(AND(B187="",E187=""),"",IF(A187="","THIẾU ID",IF(COUNTIF($A$8:$A$193,A187)&gt;1,"TRÙNG ID",IF(COUNTIF(HANG_MUC!$A$6:$A$50,B187)=0,"SAI HẠNG MỤC","OK"))))</x:f>
      </x:c>
    </x:row>
    <x:row r="188">
      <x:c r="A188" s="33" t="str">
        <x:f>IF(OR(B188="",D188=""),"",B188&amp;"-"&amp;IF(OR(C188="",C188="-"),"X",UPPER(C188))&amp;"-"&amp;TEXT(D188,"00"))</x:f>
      </x:c>
      <x:c r="B188" s="26"/>
      <x:c r="C188" s="26"/>
      <x:c r="D188" s="35"/>
      <x:c r="E188" s="28"/>
      <x:c r="F188" s="28"/>
      <x:c r="G188" s="28"/>
      <x:c r="H188" s="28"/>
      <x:c r="I188" s="28"/>
      <x:c r="J188" s="28"/>
      <x:c r="K188" s="28"/>
      <x:c r="L188" s="33"/>
      <x:c r="M188" s="33" t="str">
        <x:f>IF(E188="","CHỜ NHẬP","ĐÃ CÓ DỮ LIỆU")</x:f>
        <x:v>CHỜ NHẬP</x:v>
      </x:c>
      <x:c r="N188" s="33" t="str">
        <x:f>IF(AND(B188="",E188=""),"",IF(A188="","THIẾU ID",IF(COUNTIF($A$8:$A$193,A188)&gt;1,"TRÙNG ID",IF(COUNTIF(HANG_MUC!$A$6:$A$50,B188)=0,"SAI HẠNG MỤC","OK"))))</x:f>
      </x:c>
    </x:row>
    <x:row r="189">
      <x:c r="A189" s="33" t="str">
        <x:f>IF(OR(B189="",D189=""),"",B189&amp;"-"&amp;IF(OR(C189="",C189="-"),"X",UPPER(C189))&amp;"-"&amp;TEXT(D189,"00"))</x:f>
      </x:c>
      <x:c r="B189" s="26"/>
      <x:c r="C189" s="26"/>
      <x:c r="D189" s="35"/>
      <x:c r="E189" s="28"/>
      <x:c r="F189" s="28"/>
      <x:c r="G189" s="28"/>
      <x:c r="H189" s="28"/>
      <x:c r="I189" s="28"/>
      <x:c r="J189" s="28"/>
      <x:c r="K189" s="28"/>
      <x:c r="L189" s="33"/>
      <x:c r="M189" s="33" t="str">
        <x:f>IF(E189="","CHỜ NHẬP","ĐÃ CÓ DỮ LIỆU")</x:f>
        <x:v>CHỜ NHẬP</x:v>
      </x:c>
      <x:c r="N189" s="33" t="str">
        <x:f>IF(AND(B189="",E189=""),"",IF(A189="","THIẾU ID",IF(COUNTIF($A$8:$A$193,A189)&gt;1,"TRÙNG ID",IF(COUNTIF(HANG_MUC!$A$6:$A$50,B189)=0,"SAI HẠNG MỤC","OK"))))</x:f>
      </x:c>
    </x:row>
    <x:row r="190">
      <x:c r="A190" s="33" t="str">
        <x:f>IF(OR(B190="",D190=""),"",B190&amp;"-"&amp;IF(OR(C190="",C190="-"),"X",UPPER(C190))&amp;"-"&amp;TEXT(D190,"00"))</x:f>
      </x:c>
      <x:c r="B190" s="26"/>
      <x:c r="C190" s="26"/>
      <x:c r="D190" s="35"/>
      <x:c r="E190" s="28"/>
      <x:c r="F190" s="28"/>
      <x:c r="G190" s="28"/>
      <x:c r="H190" s="28"/>
      <x:c r="I190" s="28"/>
      <x:c r="J190" s="28"/>
      <x:c r="K190" s="28"/>
      <x:c r="L190" s="33"/>
      <x:c r="M190" s="33" t="str">
        <x:f>IF(E190="","CHỜ NHẬP","ĐÃ CÓ DỮ LIỆU")</x:f>
        <x:v>CHỜ NHẬP</x:v>
      </x:c>
      <x:c r="N190" s="33" t="str">
        <x:f>IF(AND(B190="",E190=""),"",IF(A190="","THIẾU ID",IF(COUNTIF($A$8:$A$193,A190)&gt;1,"TRÙNG ID",IF(COUNTIF(HANG_MUC!$A$6:$A$50,B190)=0,"SAI HẠNG MỤC","OK"))))</x:f>
      </x:c>
    </x:row>
    <x:row r="191">
      <x:c r="A191" s="33" t="str">
        <x:f>IF(OR(B191="",D191=""),"",B191&amp;"-"&amp;IF(OR(C191="",C191="-"),"X",UPPER(C191))&amp;"-"&amp;TEXT(D191,"00"))</x:f>
      </x:c>
      <x:c r="B191" s="26"/>
      <x:c r="C191" s="26"/>
      <x:c r="D191" s="35"/>
      <x:c r="E191" s="28"/>
      <x:c r="F191" s="28"/>
      <x:c r="G191" s="28"/>
      <x:c r="H191" s="28"/>
      <x:c r="I191" s="28"/>
      <x:c r="J191" s="28"/>
      <x:c r="K191" s="28"/>
      <x:c r="L191" s="33"/>
      <x:c r="M191" s="33" t="str">
        <x:f>IF(E191="","CHỜ NHẬP","ĐÃ CÓ DỮ LIỆU")</x:f>
        <x:v>CHỜ NHẬP</x:v>
      </x:c>
      <x:c r="N191" s="33" t="str">
        <x:f>IF(AND(B191="",E191=""),"",IF(A191="","THIẾU ID",IF(COUNTIF($A$8:$A$193,A191)&gt;1,"TRÙNG ID",IF(COUNTIF(HANG_MUC!$A$6:$A$50,B191)=0,"SAI HẠNG MỤC","OK"))))</x:f>
      </x:c>
    </x:row>
    <x:row r="192">
      <x:c r="A192" s="33" t="str">
        <x:f>IF(OR(B192="",D192=""),"",B192&amp;"-"&amp;IF(OR(C192="",C192="-"),"X",UPPER(C192))&amp;"-"&amp;TEXT(D192,"00"))</x:f>
      </x:c>
      <x:c r="B192" s="26"/>
      <x:c r="C192" s="26"/>
      <x:c r="D192" s="35"/>
      <x:c r="E192" s="28"/>
      <x:c r="F192" s="28"/>
      <x:c r="G192" s="28"/>
      <x:c r="H192" s="28"/>
      <x:c r="I192" s="28"/>
      <x:c r="J192" s="28"/>
      <x:c r="K192" s="28"/>
      <x:c r="L192" s="33"/>
      <x:c r="M192" s="33" t="str">
        <x:f>IF(E192="","CHỜ NHẬP","ĐÃ CÓ DỮ LIỆU")</x:f>
        <x:v>CHỜ NHẬP</x:v>
      </x:c>
      <x:c r="N192" s="33" t="str">
        <x:f>IF(AND(B192="",E192=""),"",IF(A192="","THIẾU ID",IF(COUNTIF($A$8:$A$193,A192)&gt;1,"TRÙNG ID",IF(COUNTIF(HANG_MUC!$A$6:$A$50,B192)=0,"SAI HẠNG MỤC","OK"))))</x:f>
      </x:c>
    </x:row>
    <x:row r="193">
      <x:c r="A193" s="33" t="str">
        <x:f>IF(OR(B193="",D193=""),"",B193&amp;"-"&amp;IF(OR(C193="",C193="-"),"X",UPPER(C193))&amp;"-"&amp;TEXT(D193,"00"))</x:f>
      </x:c>
      <x:c r="B193" s="26"/>
      <x:c r="C193" s="26"/>
      <x:c r="D193" s="35"/>
      <x:c r="E193" s="28"/>
      <x:c r="F193" s="28"/>
      <x:c r="G193" s="28"/>
      <x:c r="H193" s="28"/>
      <x:c r="I193" s="28"/>
      <x:c r="J193" s="28"/>
      <x:c r="K193" s="28"/>
      <x:c r="L193" s="33"/>
      <x:c r="M193" s="33" t="str">
        <x:f>IF(E193="","CHỜ NHẬP","ĐÃ CÓ DỮ LIỆU")</x:f>
        <x:v>CHỜ NHẬP</x:v>
      </x:c>
      <x:c r="N193" s="33" t="str">
        <x:f>IF(AND(B193="",E193=""),"",IF(A193="","THIẾU ID",IF(COUNTIF($A$8:$A$193,A193)&gt;1,"TRÙNG ID",IF(COUNTIF(HANG_MUC!$A$6:$A$50,B193)=0,"SAI HẠNG MỤC","OK"))))</x:f>
      </x:c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193">
    <x:cfRule type="containsText" dxfId="46" priority="1" operator="containsText" text="TRÙNG"/>
    <x:cfRule type="containsText" dxfId="47" priority="2" operator="containsText" text="SAI"/>
    <x:cfRule type="containsText" dxfId="48" priority="3" operator="containsText" text="THIẾU"/>
    <x:cfRule type="containsText" dxfId="49" priority="4" operator="containsText" text="OK"/>
  </x:conditionalFormatting>
  <x:conditionalFormatting sqref="M8:M193">
    <x:cfRule type="containsText" dxfId="50" priority="5" operator="containsText" text="CHỜ"/>
  </x:conditionalFormatting>
  <x:dataValidations count="3">
    <x:dataValidation type="list" sqref="B8:B193">
      <x:formula1>HANG_MUC!$A$37:$A$46</x:formula1>
    </x:dataValidation>
    <x:dataValidation type="list" sqref="C8:C193">
      <x:formula1>"-,A,B,C,D,E,F,G,H"</x:formula1>
    </x:dataValidation>
    <x:dataValidation type="whole" operator="between" sqref="D8:D193">
      <x:formula1>1</x:formula1>
      <x:formula2>999</x:formula2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34" hidden="0" customWidth="1"/>
    <x:col min="2" max="2" width="29" hidden="0" customWidth="1"/>
    <x:col min="3" max="3" width="9" hidden="0" customWidth="1"/>
    <x:col min="4" max="4" width="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31" hidden="0" customWidth="1"/>
    <x:col min="10" max="10" width="22" hidden="0" customWidth="1"/>
    <x:col min="11" max="11" width="34" hidden="0" customWidth="1"/>
    <x:col min="12" max="12" width="11" hidden="0" customWidth="1"/>
    <x:col min="13" max="13" width="20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Tennis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9" t="str">
        <x:v>Chỉ sửa ô vàng. Khi thêm dòng: chọn Mã hạng mục, nhập Bảng và STT; ID sẽ tự tạo.</x:v>
      </x:c>
      <x:c r="B3" s="19" t="str"/>
      <x:c r="C3" s="19" t="str"/>
      <x:c r="D3" s="19" t="str"/>
      <x:c r="E3" s="19" t="str"/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 t="str">
        <x:v>Mã môn</x:v>
      </x:c>
      <x:c r="B5" s="1" t="str">
        <x:v>TEN</x:v>
      </x:c>
      <x:c r="C5" s="1"/>
      <x:c r="D5" s="1" t="str">
        <x:v>Quy tắc ID</x:v>
      </x:c>
      <x:c r="E5" s="1" t="str">
        <x:v>Mã hạng mục + Bảng + STT; tên đổi vẫn cập nhật đúng dòng.</x:v>
      </x:c>
      <x:c r="F5" s="1" t="str"/>
      <x:c r="G5" s="1" t="str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30" customHeight="1">
      <x:c r="A7" s="13" t="str">
        <x:v>ID TỰ ĐỘNG</x:v>
      </x:c>
      <x:c r="B7" s="13" t="str">
        <x:v>MÃ HẠNG MỤC</x:v>
      </x:c>
      <x:c r="C7" s="13" t="str">
        <x:v>BẢNG</x:v>
      </x:c>
      <x:c r="D7" s="13" t="str">
        <x:v>STT</x:v>
      </x:c>
      <x:c r="E7" s="13" t="str">
        <x:v>VĐV / ĐỘI / THÀNH VIÊN 1</x:v>
      </x:c>
      <x:c r="F7" s="13" t="str">
        <x:v>THÀNH VIÊN 2</x:v>
      </x:c>
      <x:c r="G7" s="13" t="str">
        <x:v>THÀNH VIÊN 3</x:v>
      </x:c>
      <x:c r="H7" s="13" t="str">
        <x:v>THÀNH VIÊN 4</x:v>
      </x:c>
      <x:c r="I7" s="13" t="str">
        <x:v>DỰ BỊ</x:v>
      </x:c>
      <x:c r="J7" s="13" t="str">
        <x:v>ĐƠN VỊ</x:v>
      </x:c>
      <x:c r="K7" s="13" t="str">
        <x:v>GHI CHÚ</x:v>
      </x:c>
      <x:c r="L7" s="13" t="str">
        <x:v>TRANG PDF</x:v>
      </x:c>
      <x:c r="M7" s="13" t="str">
        <x:v>TRẠNG THÁI</x:v>
      </x:c>
      <x:c r="N7" s="13" t="str">
        <x:v>KIỂM TRA</x:v>
      </x:c>
    </x:row>
    <x:row r="8">
      <x:c r="A8" s="32" t="str">
        <x:f>IF(OR(B8="",D8=""),"",B8&amp;"-"&amp;IF(OR(C8="",C8="-"),"X",UPPER(C8))&amp;"-"&amp;TEXT(D8,"00"))</x:f>
        <x:v>TEN-DON-NAM45-A-01</x:v>
      </x:c>
      <x:c r="B8" s="24" t="str">
        <x:v>TEN-DON-NAM45</x:v>
      </x:c>
      <x:c r="C8" s="24" t="str">
        <x:v>A</x:v>
      </x:c>
      <x:c r="D8" s="34" t="n">
        <x:v>1</x:v>
      </x:c>
      <x:c r="E8" s="27" t="str">
        <x:v>Phạm Văn Thưởng</x:v>
      </x:c>
      <x:c r="F8" s="27" t="str"/>
      <x:c r="G8" s="27" t="str"/>
      <x:c r="H8" s="27" t="str"/>
      <x:c r="I8" s="27" t="str"/>
      <x:c r="J8" s="27" t="str">
        <x:v>PTSC Long Phú</x:v>
      </x:c>
      <x:c r="K8" s="27" t="str"/>
      <x:c r="L8" s="32" t="n">
        <x:v>1</x:v>
      </x:c>
      <x:c r="M8" s="32" t="str">
        <x:f>IF(E8="","CHỜ NHẬP","ĐÃ CÓ DỮ LIỆU")</x:f>
        <x:v>ĐÃ CÓ DỮ LIỆU</x:v>
      </x:c>
      <x:c r="N8" s="32" t="str">
        <x:f>IF(AND(B8="",E8=""),"",IF(A8="","THIẾU ID",IF(COUNTIF($A$8:$A$55,A8)&gt;1,"TRÙNG ID",IF(COUNTIF(HANG_MUC!$A$6:$A$50,B8)=0,"SAI HẠNG MỤC","OK"))))</x:f>
        <x:v>OK</x:v>
      </x:c>
    </x:row>
    <x:row r="9">
      <x:c r="A9" s="33" t="str">
        <x:f>IF(OR(B9="",D9=""),"",B9&amp;"-"&amp;IF(OR(C9="",C9="-"),"X",UPPER(C9))&amp;"-"&amp;TEXT(D9,"00"))</x:f>
        <x:v>TEN-DON-NAM45-A-02</x:v>
      </x:c>
      <x:c r="B9" s="26" t="str">
        <x:v>TEN-DON-NAM45</x:v>
      </x:c>
      <x:c r="C9" s="26" t="str">
        <x:v>A</x:v>
      </x:c>
      <x:c r="D9" s="35" t="n">
        <x:v>2</x:v>
      </x:c>
      <x:c r="E9" s="28" t="str">
        <x:v>Lê Thanh Sơn</x:v>
      </x:c>
      <x:c r="F9" s="28" t="str"/>
      <x:c r="G9" s="28" t="str"/>
      <x:c r="H9" s="28" t="str"/>
      <x:c r="I9" s="28" t="str"/>
      <x:c r="J9" s="28" t="str">
        <x:v>PTSC Thanh Hoá</x:v>
      </x:c>
      <x:c r="K9" s="28" t="str"/>
      <x:c r="L9" s="33" t="n">
        <x:v>1</x:v>
      </x:c>
      <x:c r="M9" s="33" t="str">
        <x:f>IF(E9="","CHỜ NHẬP","ĐÃ CÓ DỮ LIỆU")</x:f>
        <x:v>ĐÃ CÓ DỮ LIỆU</x:v>
      </x:c>
      <x:c r="N9" s="33" t="str">
        <x:f>IF(AND(B9="",E9=""),"",IF(A9="","THIẾU ID",IF(COUNTIF($A$8:$A$55,A9)&gt;1,"TRÙNG ID",IF(COUNTIF(HANG_MUC!$A$6:$A$50,B9)=0,"SAI HẠNG MỤC","OK"))))</x:f>
        <x:v>OK</x:v>
      </x:c>
    </x:row>
    <x:row r="10">
      <x:c r="A10" s="33" t="str">
        <x:f>IF(OR(B10="",D10=""),"",B10&amp;"-"&amp;IF(OR(C10="",C10="-"),"X",UPPER(C10))&amp;"-"&amp;TEXT(D10,"00"))</x:f>
        <x:v>TEN-DON-NAM45-A-03</x:v>
      </x:c>
      <x:c r="B10" s="26" t="str">
        <x:v>TEN-DON-NAM45</x:v>
      </x:c>
      <x:c r="C10" s="26" t="str">
        <x:v>A</x:v>
      </x:c>
      <x:c r="D10" s="35" t="n">
        <x:v>3</x:v>
      </x:c>
      <x:c r="E10" s="28" t="str">
        <x:v>Trần Khắc Huy</x:v>
      </x:c>
      <x:c r="F10" s="28" t="str"/>
      <x:c r="G10" s="28" t="str"/>
      <x:c r="H10" s="28" t="str"/>
      <x:c r="I10" s="28" t="str"/>
      <x:c r="J10" s="28" t="str">
        <x:v>POS</x:v>
      </x:c>
      <x:c r="K10" s="28" t="str"/>
      <x:c r="L10" s="33" t="n">
        <x:v>1</x:v>
      </x:c>
      <x:c r="M10" s="33" t="str">
        <x:f>IF(E10="","CHỜ NHẬP","ĐÃ CÓ DỮ LIỆU")</x:f>
        <x:v>ĐÃ CÓ DỮ LIỆU</x:v>
      </x:c>
      <x:c r="N10" s="33" t="str">
        <x:f>IF(AND(B10="",E10=""),"",IF(A10="","THIẾU ID",IF(COUNTIF($A$8:$A$55,A10)&gt;1,"TRÙNG ID",IF(COUNTIF(HANG_MUC!$A$6:$A$50,B10)=0,"SAI HẠNG MỤC","OK"))))</x:f>
        <x:v>OK</x:v>
      </x:c>
    </x:row>
    <x:row r="11">
      <x:c r="A11" s="33" t="str">
        <x:f>IF(OR(B11="",D11=""),"",B11&amp;"-"&amp;IF(OR(C11="",C11="-"),"X",UPPER(C11))&amp;"-"&amp;TEXT(D11,"00"))</x:f>
        <x:v>TEN-DON-NAM45-B-01</x:v>
      </x:c>
      <x:c r="B11" s="26" t="str">
        <x:v>TEN-DON-NAM45</x:v>
      </x:c>
      <x:c r="C11" s="26" t="str">
        <x:v>B</x:v>
      </x:c>
      <x:c r="D11" s="35" t="n">
        <x:v>1</x:v>
      </x:c>
      <x:c r="E11" s="28" t="str">
        <x:v>Trần Văn Thắng</x:v>
      </x:c>
      <x:c r="F11" s="28" t="str"/>
      <x:c r="G11" s="28" t="str"/>
      <x:c r="H11" s="28" t="str"/>
      <x:c r="I11" s="28" t="str"/>
      <x:c r="J11" s="28" t="str">
        <x:v>PTSC Thanh Hoá</x:v>
      </x:c>
      <x:c r="K11" s="28" t="str"/>
      <x:c r="L11" s="33" t="n">
        <x:v>1</x:v>
      </x:c>
      <x:c r="M11" s="33" t="str">
        <x:f>IF(E11="","CHỜ NHẬP","ĐÃ CÓ DỮ LIỆU")</x:f>
        <x:v>ĐÃ CÓ DỮ LIỆU</x:v>
      </x:c>
      <x:c r="N11" s="33" t="str">
        <x:f>IF(AND(B11="",E11=""),"",IF(A11="","THIẾU ID",IF(COUNTIF($A$8:$A$55,A11)&gt;1,"TRÙNG ID",IF(COUNTIF(HANG_MUC!$A$6:$A$50,B11)=0,"SAI HẠNG MỤC","OK"))))</x:f>
        <x:v>OK</x:v>
      </x:c>
    </x:row>
    <x:row r="12">
      <x:c r="A12" s="33" t="str">
        <x:f>IF(OR(B12="",D12=""),"",B12&amp;"-"&amp;IF(OR(C12="",C12="-"),"X",UPPER(C12))&amp;"-"&amp;TEXT(D12,"00"))</x:f>
        <x:v>TEN-DON-NAM45-B-02</x:v>
      </x:c>
      <x:c r="B12" s="26" t="str">
        <x:v>TEN-DON-NAM45</x:v>
      </x:c>
      <x:c r="C12" s="26" t="str">
        <x:v>B</x:v>
      </x:c>
      <x:c r="D12" s="35" t="n">
        <x:v>2</x:v>
      </x:c>
      <x:c r="E12" s="28" t="str">
        <x:v>Lê Cường Quyền</x:v>
      </x:c>
      <x:c r="F12" s="28" t="str"/>
      <x:c r="G12" s="28" t="str"/>
      <x:c r="H12" s="28" t="str"/>
      <x:c r="I12" s="28" t="str"/>
      <x:c r="J12" s="28" t="str">
        <x:v>PTSC Supply Base</x:v>
      </x:c>
      <x:c r="K12" s="28" t="str"/>
      <x:c r="L12" s="33" t="n">
        <x:v>1</x:v>
      </x:c>
      <x:c r="M12" s="33" t="str">
        <x:f>IF(E12="","CHỜ NHẬP","ĐÃ CÓ DỮ LIỆU")</x:f>
        <x:v>ĐÃ CÓ DỮ LIỆU</x:v>
      </x:c>
      <x:c r="N12" s="33" t="str">
        <x:f>IF(AND(B12="",E12=""),"",IF(A12="","THIẾU ID",IF(COUNTIF($A$8:$A$55,A12)&gt;1,"TRÙNG ID",IF(COUNTIF(HANG_MUC!$A$6:$A$50,B12)=0,"SAI HẠNG MỤC","OK"))))</x:f>
        <x:v>OK</x:v>
      </x:c>
    </x:row>
    <x:row r="13">
      <x:c r="A13" s="33" t="str">
        <x:f>IF(OR(B13="",D13=""),"",B13&amp;"-"&amp;IF(OR(C13="",C13="-"),"X",UPPER(C13))&amp;"-"&amp;TEXT(D13,"00"))</x:f>
        <x:v>TEN-DON-NAM45-B-03</x:v>
      </x:c>
      <x:c r="B13" s="26" t="str">
        <x:v>TEN-DON-NAM45</x:v>
      </x:c>
      <x:c r="C13" s="26" t="str">
        <x:v>B</x:v>
      </x:c>
      <x:c r="D13" s="35" t="n">
        <x:v>3</x:v>
      </x:c>
      <x:c r="E13" s="28" t="str">
        <x:v>Đào Viết Sơn</x:v>
      </x:c>
      <x:c r="F13" s="28" t="str"/>
      <x:c r="G13" s="28" t="str"/>
      <x:c r="H13" s="28" t="str"/>
      <x:c r="I13" s="28" t="str"/>
      <x:c r="J13" s="28" t="str">
        <x:v>PTSC M&amp;C</x:v>
      </x:c>
      <x:c r="K13" s="28" t="str"/>
      <x:c r="L13" s="33" t="n">
        <x:v>1</x:v>
      </x:c>
      <x:c r="M13" s="33" t="str">
        <x:f>IF(E13="","CHỜ NHẬP","ĐÃ CÓ DỮ LIỆU")</x:f>
        <x:v>ĐÃ CÓ DỮ LIỆU</x:v>
      </x:c>
      <x:c r="N13" s="33" t="str">
        <x:f>IF(AND(B13="",E13=""),"",IF(A13="","THIẾU ID",IF(COUNTIF($A$8:$A$55,A13)&gt;1,"TRÙNG ID",IF(COUNTIF(HANG_MUC!$A$6:$A$50,B13)=0,"SAI HẠNG MỤC","OK"))))</x:f>
        <x:v>OK</x:v>
      </x:c>
    </x:row>
    <x:row r="14">
      <x:c r="A14" s="33" t="str">
        <x:f>IF(OR(B14="",D14=""),"",B14&amp;"-"&amp;IF(OR(C14="",C14="-"),"X",UPPER(C14))&amp;"-"&amp;TEXT(D14,"00"))</x:f>
        <x:v>TEN-DON-NAM46-A-01</x:v>
      </x:c>
      <x:c r="B14" s="26" t="str">
        <x:v>TEN-DON-NAM46</x:v>
      </x:c>
      <x:c r="C14" s="26" t="str">
        <x:v>A</x:v>
      </x:c>
      <x:c r="D14" s="35" t="n">
        <x:v>1</x:v>
      </x:c>
      <x:c r="E14" s="28" t="str">
        <x:v>Đăng Văn Thơ</x:v>
      </x:c>
      <x:c r="F14" s="28" t="str"/>
      <x:c r="G14" s="28" t="str"/>
      <x:c r="H14" s="28" t="str"/>
      <x:c r="I14" s="28" t="str"/>
      <x:c r="J14" s="28" t="str">
        <x:v>PTSC G&amp;S</x:v>
      </x:c>
      <x:c r="K14" s="28" t="str"/>
      <x:c r="L14" s="33" t="n">
        <x:v>2</x:v>
      </x:c>
      <x:c r="M14" s="33" t="str">
        <x:f>IF(E14="","CHỜ NHẬP","ĐÃ CÓ DỮ LIỆU")</x:f>
        <x:v>ĐÃ CÓ DỮ LIỆU</x:v>
      </x:c>
      <x:c r="N14" s="33" t="str">
        <x:f>IF(AND(B14="",E14=""),"",IF(A14="","THIẾU ID",IF(COUNTIF($A$8:$A$55,A14)&gt;1,"TRÙNG ID",IF(COUNTIF(HANG_MUC!$A$6:$A$50,B14)=0,"SAI HẠNG MỤC","OK"))))</x:f>
        <x:v>OK</x:v>
      </x:c>
    </x:row>
    <x:row r="15">
      <x:c r="A15" s="33" t="str">
        <x:f>IF(OR(B15="",D15=""),"",B15&amp;"-"&amp;IF(OR(C15="",C15="-"),"X",UPPER(C15))&amp;"-"&amp;TEXT(D15,"00"))</x:f>
        <x:v>TEN-DON-NAM46-A-02</x:v>
      </x:c>
      <x:c r="B15" s="26" t="str">
        <x:v>TEN-DON-NAM46</x:v>
      </x:c>
      <x:c r="C15" s="26" t="str">
        <x:v>A</x:v>
      </x:c>
      <x:c r="D15" s="35" t="n">
        <x:v>2</x:v>
      </x:c>
      <x:c r="E15" s="28" t="str">
        <x:v>Phan Tùng Nguyên</x:v>
      </x:c>
      <x:c r="F15" s="28" t="str"/>
      <x:c r="G15" s="28" t="str"/>
      <x:c r="H15" s="28" t="str"/>
      <x:c r="I15" s="28" t="str"/>
      <x:c r="J15" s="28" t="str">
        <x:v>PTSC Hà Nội</x:v>
      </x:c>
      <x:c r="K15" s="28" t="str"/>
      <x:c r="L15" s="33" t="n">
        <x:v>2</x:v>
      </x:c>
      <x:c r="M15" s="33" t="str">
        <x:f>IF(E15="","CHỜ NHẬP","ĐÃ CÓ DỮ LIỆU")</x:f>
        <x:v>ĐÃ CÓ DỮ LIỆU</x:v>
      </x:c>
      <x:c r="N15" s="33" t="str">
        <x:f>IF(AND(B15="",E15=""),"",IF(A15="","THIẾU ID",IF(COUNTIF($A$8:$A$55,A15)&gt;1,"TRÙNG ID",IF(COUNTIF(HANG_MUC!$A$6:$A$50,B15)=0,"SAI HẠNG MỤC","OK"))))</x:f>
        <x:v>OK</x:v>
      </x:c>
    </x:row>
    <x:row r="16">
      <x:c r="A16" s="33" t="str">
        <x:f>IF(OR(B16="",D16=""),"",B16&amp;"-"&amp;IF(OR(C16="",C16="-"),"X",UPPER(C16))&amp;"-"&amp;TEXT(D16,"00"))</x:f>
        <x:v>TEN-DON-NAM46-A-03</x:v>
      </x:c>
      <x:c r="B16" s="26" t="str">
        <x:v>TEN-DON-NAM46</x:v>
      </x:c>
      <x:c r="C16" s="26" t="str">
        <x:v>A</x:v>
      </x:c>
      <x:c r="D16" s="35" t="n">
        <x:v>3</x:v>
      </x:c>
      <x:c r="E16" s="28" t="str">
        <x:v>Lê Thuỷ</x:v>
      </x:c>
      <x:c r="F16" s="28" t="str"/>
      <x:c r="G16" s="28" t="str"/>
      <x:c r="H16" s="28" t="str"/>
      <x:c r="I16" s="28" t="str"/>
      <x:c r="J16" s="28" t="str">
        <x:v>PTSC M&amp;C</x:v>
      </x:c>
      <x:c r="K16" s="28" t="str"/>
      <x:c r="L16" s="33" t="n">
        <x:v>2</x:v>
      </x:c>
      <x:c r="M16" s="33" t="str">
        <x:f>IF(E16="","CHỜ NHẬP","ĐÃ CÓ DỮ LIỆU")</x:f>
        <x:v>ĐÃ CÓ DỮ LIỆU</x:v>
      </x:c>
      <x:c r="N16" s="33" t="str">
        <x:f>IF(AND(B16="",E16=""),"",IF(A16="","THIẾU ID",IF(COUNTIF($A$8:$A$55,A16)&gt;1,"TRÙNG ID",IF(COUNTIF(HANG_MUC!$A$6:$A$50,B16)=0,"SAI HẠNG MỤC","OK"))))</x:f>
        <x:v>OK</x:v>
      </x:c>
    </x:row>
    <x:row r="17">
      <x:c r="A17" s="33" t="str">
        <x:f>IF(OR(B17="",D17=""),"",B17&amp;"-"&amp;IF(OR(C17="",C17="-"),"X",UPPER(C17))&amp;"-"&amp;TEXT(D17,"00"))</x:f>
        <x:v>TEN-DON-NAM46-B-01</x:v>
      </x:c>
      <x:c r="B17" s="26" t="str">
        <x:v>TEN-DON-NAM46</x:v>
      </x:c>
      <x:c r="C17" s="26" t="str">
        <x:v>B</x:v>
      </x:c>
      <x:c r="D17" s="35" t="n">
        <x:v>1</x:v>
      </x:c>
      <x:c r="E17" s="28" t="str">
        <x:v>Trần Vinh Phương</x:v>
      </x:c>
      <x:c r="F17" s="28" t="str"/>
      <x:c r="G17" s="28" t="str"/>
      <x:c r="H17" s="28" t="str"/>
      <x:c r="I17" s="28" t="str"/>
      <x:c r="J17" s="28" t="str">
        <x:v>PTSC M&amp;C</x:v>
      </x:c>
      <x:c r="K17" s="28" t="str"/>
      <x:c r="L17" s="33" t="n">
        <x:v>2</x:v>
      </x:c>
      <x:c r="M17" s="33" t="str">
        <x:f>IF(E17="","CHỜ NHẬP","ĐÃ CÓ DỮ LIỆU")</x:f>
        <x:v>ĐÃ CÓ DỮ LIỆU</x:v>
      </x:c>
      <x:c r="N17" s="33" t="str">
        <x:f>IF(AND(B17="",E17=""),"",IF(A17="","THIẾU ID",IF(COUNTIF($A$8:$A$55,A17)&gt;1,"TRÙNG ID",IF(COUNTIF(HANG_MUC!$A$6:$A$50,B17)=0,"SAI HẠNG MỤC","OK"))))</x:f>
        <x:v>OK</x:v>
      </x:c>
    </x:row>
    <x:row r="18">
      <x:c r="A18" s="33" t="str">
        <x:f>IF(OR(B18="",D18=""),"",B18&amp;"-"&amp;IF(OR(C18="",C18="-"),"X",UPPER(C18))&amp;"-"&amp;TEXT(D18,"00"))</x:f>
        <x:v>TEN-DON-NAM46-B-02</x:v>
      </x:c>
      <x:c r="B18" s="26" t="str">
        <x:v>TEN-DON-NAM46</x:v>
      </x:c>
      <x:c r="C18" s="26" t="str">
        <x:v>B</x:v>
      </x:c>
      <x:c r="D18" s="35" t="n">
        <x:v>2</x:v>
      </x:c>
      <x:c r="E18" s="28" t="str">
        <x:v>Đoàn Khắc Kính</x:v>
      </x:c>
      <x:c r="F18" s="28" t="str"/>
      <x:c r="G18" s="28" t="str"/>
      <x:c r="H18" s="28" t="str"/>
      <x:c r="I18" s="28" t="str"/>
      <x:c r="J18" s="28" t="str">
        <x:v>PTSC Supply Base</x:v>
      </x:c>
      <x:c r="K18" s="28" t="str"/>
      <x:c r="L18" s="33" t="n">
        <x:v>2</x:v>
      </x:c>
      <x:c r="M18" s="33" t="str">
        <x:f>IF(E18="","CHỜ NHẬP","ĐÃ CÓ DỮ LIỆU")</x:f>
        <x:v>ĐÃ CÓ DỮ LIỆU</x:v>
      </x:c>
      <x:c r="N18" s="33" t="str">
        <x:f>IF(AND(B18="",E18=""),"",IF(A18="","THIẾU ID",IF(COUNTIF($A$8:$A$55,A18)&gt;1,"TRÙNG ID",IF(COUNTIF(HANG_MUC!$A$6:$A$50,B18)=0,"SAI HẠNG MỤC","OK"))))</x:f>
        <x:v>OK</x:v>
      </x:c>
    </x:row>
    <x:row r="19">
      <x:c r="A19" s="33" t="str">
        <x:f>IF(OR(B19="",D19=""),"",B19&amp;"-"&amp;IF(OR(C19="",C19="-"),"X",UPPER(C19))&amp;"-"&amp;TEXT(D19,"00"))</x:f>
        <x:v>TEN-DON-NAM46-B-03</x:v>
      </x:c>
      <x:c r="B19" s="26" t="str">
        <x:v>TEN-DON-NAM46</x:v>
      </x:c>
      <x:c r="C19" s="26" t="str">
        <x:v>B</x:v>
      </x:c>
      <x:c r="D19" s="35" t="n">
        <x:v>3</x:v>
      </x:c>
      <x:c r="E19" s="28" t="str">
        <x:v>Lê Văn Khang</x:v>
      </x:c>
      <x:c r="F19" s="28" t="str"/>
      <x:c r="G19" s="28" t="str"/>
      <x:c r="H19" s="28" t="str"/>
      <x:c r="I19" s="28" t="str"/>
      <x:c r="J19" s="28" t="str">
        <x:v>PTSC Thanh Hoá</x:v>
      </x:c>
      <x:c r="K19" s="28" t="str"/>
      <x:c r="L19" s="33" t="n">
        <x:v>2</x:v>
      </x:c>
      <x:c r="M19" s="33" t="str">
        <x:f>IF(E19="","CHỜ NHẬP","ĐÃ CÓ DỮ LIỆU")</x:f>
        <x:v>ĐÃ CÓ DỮ LIỆU</x:v>
      </x:c>
      <x:c r="N19" s="33" t="str">
        <x:f>IF(AND(B19="",E19=""),"",IF(A19="","THIẾU ID",IF(COUNTIF($A$8:$A$55,A19)&gt;1,"TRÙNG ID",IF(COUNTIF(HANG_MUC!$A$6:$A$50,B19)=0,"SAI HẠNG MỤC","OK"))))</x:f>
        <x:v>OK</x:v>
      </x:c>
    </x:row>
    <x:row r="20">
      <x:c r="A20" s="33" t="str">
        <x:f>IF(OR(B20="",D20=""),"",B20&amp;"-"&amp;IF(OR(C20="",C20="-"),"X",UPPER(C20))&amp;"-"&amp;TEXT(D20,"00"))</x:f>
        <x:v>TEN-DON-NAM46-C-01</x:v>
      </x:c>
      <x:c r="B20" s="26" t="str">
        <x:v>TEN-DON-NAM46</x:v>
      </x:c>
      <x:c r="C20" s="26" t="str">
        <x:v>C</x:v>
      </x:c>
      <x:c r="D20" s="35" t="n">
        <x:v>1</x:v>
      </x:c>
      <x:c r="E20" s="28" t="str">
        <x:v>Nguyễn Văn Mạnh</x:v>
      </x:c>
      <x:c r="F20" s="28" t="str"/>
      <x:c r="G20" s="28" t="str"/>
      <x:c r="H20" s="28" t="str"/>
      <x:c r="I20" s="28" t="str"/>
      <x:c r="J20" s="28" t="str">
        <x:v>PTSC Thanh Hoá</x:v>
      </x:c>
      <x:c r="K20" s="28" t="str"/>
      <x:c r="L20" s="33" t="n">
        <x:v>2</x:v>
      </x:c>
      <x:c r="M20" s="33" t="str">
        <x:f>IF(E20="","CHỜ NHẬP","ĐÃ CÓ DỮ LIỆU")</x:f>
        <x:v>ĐÃ CÓ DỮ LIỆU</x:v>
      </x:c>
      <x:c r="N20" s="33" t="str">
        <x:f>IF(AND(B20="",E20=""),"",IF(A20="","THIẾU ID",IF(COUNTIF($A$8:$A$55,A20)&gt;1,"TRÙNG ID",IF(COUNTIF(HANG_MUC!$A$6:$A$50,B20)=0,"SAI HẠNG MỤC","OK"))))</x:f>
        <x:v>OK</x:v>
      </x:c>
    </x:row>
    <x:row r="21">
      <x:c r="A21" s="33" t="str">
        <x:f>IF(OR(B21="",D21=""),"",B21&amp;"-"&amp;IF(OR(C21="",C21="-"),"X",UPPER(C21))&amp;"-"&amp;TEXT(D21,"00"))</x:f>
        <x:v>TEN-DON-NAM46-C-02</x:v>
      </x:c>
      <x:c r="B21" s="26" t="str">
        <x:v>TEN-DON-NAM46</x:v>
      </x:c>
      <x:c r="C21" s="26" t="str">
        <x:v>C</x:v>
      </x:c>
      <x:c r="D21" s="35" t="n">
        <x:v>2</x:v>
      </x:c>
      <x:c r="E21" s="28" t="str">
        <x:v>Hoàng Long Phương</x:v>
      </x:c>
      <x:c r="F21" s="28" t="str"/>
      <x:c r="G21" s="28" t="str"/>
      <x:c r="H21" s="28" t="str"/>
      <x:c r="I21" s="28" t="str"/>
      <x:c r="J21" s="28" t="str">
        <x:v>PTSC Miền Trung</x:v>
      </x:c>
      <x:c r="K21" s="28" t="str"/>
      <x:c r="L21" s="33" t="n">
        <x:v>2</x:v>
      </x:c>
      <x:c r="M21" s="33" t="str">
        <x:f>IF(E21="","CHỜ NHẬP","ĐÃ CÓ DỮ LIỆU")</x:f>
        <x:v>ĐÃ CÓ DỮ LIỆU</x:v>
      </x:c>
      <x:c r="N21" s="33" t="str">
        <x:f>IF(AND(B21="",E21=""),"",IF(A21="","THIẾU ID",IF(COUNTIF($A$8:$A$55,A21)&gt;1,"TRÙNG ID",IF(COUNTIF(HANG_MUC!$A$6:$A$50,B21)=0,"SAI HẠNG MỤC","OK"))))</x:f>
        <x:v>OK</x:v>
      </x:c>
    </x:row>
    <x:row r="22">
      <x:c r="A22" s="33" t="str">
        <x:f>IF(OR(B22="",D22=""),"",B22&amp;"-"&amp;IF(OR(C22="",C22="-"),"X",UPPER(C22))&amp;"-"&amp;TEXT(D22,"00"))</x:f>
        <x:v>TEN-DON-NAM46-C-03</x:v>
      </x:c>
      <x:c r="B22" s="26" t="str">
        <x:v>TEN-DON-NAM46</x:v>
      </x:c>
      <x:c r="C22" s="26" t="str">
        <x:v>C</x:v>
      </x:c>
      <x:c r="D22" s="35" t="n">
        <x:v>3</x:v>
      </x:c>
      <x:c r="E22" s="28" t="str">
        <x:v>Nguyễn Hồng Huy</x:v>
      </x:c>
      <x:c r="F22" s="28" t="str"/>
      <x:c r="G22" s="28" t="str"/>
      <x:c r="H22" s="28" t="str"/>
      <x:c r="I22" s="28" t="str"/>
      <x:c r="J22" s="28" t="str">
        <x:v>PTSC G&amp;S</x:v>
      </x:c>
      <x:c r="K22" s="28" t="str"/>
      <x:c r="L22" s="33" t="n">
        <x:v>2</x:v>
      </x:c>
      <x:c r="M22" s="33" t="str">
        <x:f>IF(E22="","CHỜ NHẬP","ĐÃ CÓ DỮ LIỆU")</x:f>
        <x:v>ĐÃ CÓ DỮ LIỆU</x:v>
      </x:c>
      <x:c r="N22" s="33" t="str">
        <x:f>IF(AND(B22="",E22=""),"",IF(A22="","THIẾU ID",IF(COUNTIF($A$8:$A$55,A22)&gt;1,"TRÙNG ID",IF(COUNTIF(HANG_MUC!$A$6:$A$50,B22)=0,"SAI HẠNG MỤC","OK"))))</x:f>
        <x:v>OK</x:v>
      </x:c>
    </x:row>
    <x:row r="23">
      <x:c r="A23" s="33" t="str">
        <x:f>IF(OR(B23="",D23=""),"",B23&amp;"-"&amp;IF(OR(C23="",C23="-"),"X",UPPER(C23))&amp;"-"&amp;TEXT(D23,"00"))</x:f>
        <x:v>TEN-DOI-NAM45-A-01</x:v>
      </x:c>
      <x:c r="B23" s="26" t="str">
        <x:v>TEN-DOI-NAM45</x:v>
      </x:c>
      <x:c r="C23" s="26" t="str">
        <x:v>A</x:v>
      </x:c>
      <x:c r="D23" s="35" t="n">
        <x:v>1</x:v>
      </x:c>
      <x:c r="E23" s="28" t="str">
        <x:v>Lê Thanh Sơn</x:v>
      </x:c>
      <x:c r="F23" s="28" t="str">
        <x:v>Trần Văn Thắng</x:v>
      </x:c>
      <x:c r="G23" s="28" t="str"/>
      <x:c r="H23" s="28" t="str"/>
      <x:c r="I23" s="28" t="str"/>
      <x:c r="J23" s="28" t="str">
        <x:v>PTSC Thanh Hóa</x:v>
      </x:c>
      <x:c r="K23" s="28" t="str"/>
      <x:c r="L23" s="33" t="n">
        <x:v>4</x:v>
      </x:c>
      <x:c r="M23" s="33" t="str">
        <x:f>IF(E23="","CHỜ NHẬP","ĐÃ CÓ DỮ LIỆU")</x:f>
        <x:v>ĐÃ CÓ DỮ LIỆU</x:v>
      </x:c>
      <x:c r="N23" s="33" t="str">
        <x:f>IF(AND(B23="",E23=""),"",IF(A23="","THIẾU ID",IF(COUNTIF($A$8:$A$55,A23)&gt;1,"TRÙNG ID",IF(COUNTIF(HANG_MUC!$A$6:$A$50,B23)=0,"SAI HẠNG MỤC","OK"))))</x:f>
        <x:v>OK</x:v>
      </x:c>
    </x:row>
    <x:row r="24">
      <x:c r="A24" s="33" t="str">
        <x:f>IF(OR(B24="",D24=""),"",B24&amp;"-"&amp;IF(OR(C24="",C24="-"),"X",UPPER(C24))&amp;"-"&amp;TEXT(D24,"00"))</x:f>
        <x:v>TEN-DOI-NAM45-A-02</x:v>
      </x:c>
      <x:c r="B24" s="26" t="str">
        <x:v>TEN-DOI-NAM45</x:v>
      </x:c>
      <x:c r="C24" s="26" t="str">
        <x:v>A</x:v>
      </x:c>
      <x:c r="D24" s="35" t="n">
        <x:v>2</x:v>
      </x:c>
      <x:c r="E24" s="28" t="str">
        <x:v>Lê Thủy</x:v>
      </x:c>
      <x:c r="F24" s="28" t="str">
        <x:v>Đinh Viết Dũng</x:v>
      </x:c>
      <x:c r="G24" s="28" t="str"/>
      <x:c r="H24" s="28" t="str"/>
      <x:c r="I24" s="28" t="str"/>
      <x:c r="J24" s="28" t="str">
        <x:v>PTSC M&amp;C</x:v>
      </x:c>
      <x:c r="K24" s="28" t="str"/>
      <x:c r="L24" s="33" t="n">
        <x:v>4</x:v>
      </x:c>
      <x:c r="M24" s="33" t="str">
        <x:f>IF(E24="","CHỜ NHẬP","ĐÃ CÓ DỮ LIỆU")</x:f>
        <x:v>ĐÃ CÓ DỮ LIỆU</x:v>
      </x:c>
      <x:c r="N24" s="33" t="str">
        <x:f>IF(AND(B24="",E24=""),"",IF(A24="","THIẾU ID",IF(COUNTIF($A$8:$A$55,A24)&gt;1,"TRÙNG ID",IF(COUNTIF(HANG_MUC!$A$6:$A$50,B24)=0,"SAI HẠNG MỤC","OK"))))</x:f>
        <x:v>OK</x:v>
      </x:c>
    </x:row>
    <x:row r="25">
      <x:c r="A25" s="33" t="str">
        <x:f>IF(OR(B25="",D25=""),"",B25&amp;"-"&amp;IF(OR(C25="",C25="-"),"X",UPPER(C25))&amp;"-"&amp;TEXT(D25,"00"))</x:f>
        <x:v>TEN-DOI-NAM45-A-03</x:v>
      </x:c>
      <x:c r="B25" s="26" t="str">
        <x:v>TEN-DOI-NAM45</x:v>
      </x:c>
      <x:c r="C25" s="26" t="str">
        <x:v>A</x:v>
      </x:c>
      <x:c r="D25" s="35" t="n">
        <x:v>3</x:v>
      </x:c>
      <x:c r="E25" s="28" t="str">
        <x:v>Phạm Thế Quyền</x:v>
      </x:c>
      <x:c r="F25" s="28" t="str">
        <x:v>Đặng Kiến Nghiệp</x:v>
      </x:c>
      <x:c r="G25" s="28" t="str"/>
      <x:c r="H25" s="28" t="str"/>
      <x:c r="I25" s="28" t="str"/>
      <x:c r="J25" s="28" t="str">
        <x:v>PTSC Đình Vũ</x:v>
      </x:c>
      <x:c r="K25" s="28" t="str"/>
      <x:c r="L25" s="33" t="n">
        <x:v>4</x:v>
      </x:c>
      <x:c r="M25" s="33" t="str">
        <x:f>IF(E25="","CHỜ NHẬP","ĐÃ CÓ DỮ LIỆU")</x:f>
        <x:v>ĐÃ CÓ DỮ LIỆU</x:v>
      </x:c>
      <x:c r="N25" s="33" t="str">
        <x:f>IF(AND(B25="",E25=""),"",IF(A25="","THIẾU ID",IF(COUNTIF($A$8:$A$55,A25)&gt;1,"TRÙNG ID",IF(COUNTIF(HANG_MUC!$A$6:$A$50,B25)=0,"SAI HẠNG MỤC","OK"))))</x:f>
        <x:v>OK</x:v>
      </x:c>
    </x:row>
    <x:row r="26">
      <x:c r="A26" s="33" t="str">
        <x:f>IF(OR(B26="",D26=""),"",B26&amp;"-"&amp;IF(OR(C26="",C26="-"),"X",UPPER(C26))&amp;"-"&amp;TEXT(D26,"00"))</x:f>
        <x:v>TEN-DOI-NAM45-B-01</x:v>
      </x:c>
      <x:c r="B26" s="26" t="str">
        <x:v>TEN-DOI-NAM45</x:v>
      </x:c>
      <x:c r="C26" s="26" t="str">
        <x:v>B</x:v>
      </x:c>
      <x:c r="D26" s="35" t="n">
        <x:v>1</x:v>
      </x:c>
      <x:c r="E26" s="28" t="str">
        <x:v>Tố Tuấn Hưng</x:v>
      </x:c>
      <x:c r="F26" s="28" t="str">
        <x:v>Trần Mạnh Cường</x:v>
      </x:c>
      <x:c r="G26" s="28" t="str"/>
      <x:c r="H26" s="28" t="str"/>
      <x:c r="I26" s="28" t="str"/>
      <x:c r="J26" s="28" t="str">
        <x:v>PTSC HQ</x:v>
      </x:c>
      <x:c r="K26" s="28" t="str"/>
      <x:c r="L26" s="33" t="n">
        <x:v>4</x:v>
      </x:c>
      <x:c r="M26" s="33" t="str">
        <x:f>IF(E26="","CHỜ NHẬP","ĐÃ CÓ DỮ LIỆU")</x:f>
        <x:v>ĐÃ CÓ DỮ LIỆU</x:v>
      </x:c>
      <x:c r="N26" s="33" t="str">
        <x:f>IF(AND(B26="",E26=""),"",IF(A26="","THIẾU ID",IF(COUNTIF($A$8:$A$55,A26)&gt;1,"TRÙNG ID",IF(COUNTIF(HANG_MUC!$A$6:$A$50,B26)=0,"SAI HẠNG MỤC","OK"))))</x:f>
        <x:v>OK</x:v>
      </x:c>
    </x:row>
    <x:row r="27">
      <x:c r="A27" s="33" t="str">
        <x:f>IF(OR(B27="",D27=""),"",B27&amp;"-"&amp;IF(OR(C27="",C27="-"),"X",UPPER(C27))&amp;"-"&amp;TEXT(D27,"00"))</x:f>
        <x:v>TEN-DOI-NAM45-B-02</x:v>
      </x:c>
      <x:c r="B27" s="26" t="str">
        <x:v>TEN-DOI-NAM45</x:v>
      </x:c>
      <x:c r="C27" s="26" t="str">
        <x:v>B</x:v>
      </x:c>
      <x:c r="D27" s="35" t="n">
        <x:v>2</x:v>
      </x:c>
      <x:c r="E27" s="28" t="str">
        <x:v>Đoàn Ngọc Tấn</x:v>
      </x:c>
      <x:c r="F27" s="28" t="str">
        <x:v>Lâm Đức Minh</x:v>
      </x:c>
      <x:c r="G27" s="28" t="str"/>
      <x:c r="H27" s="28" t="str"/>
      <x:c r="I27" s="28" t="str"/>
      <x:c r="J27" s="28" t="str">
        <x:v>PTSC Quảng Ngãi</x:v>
      </x:c>
      <x:c r="K27" s="28" t="str"/>
      <x:c r="L27" s="33" t="n">
        <x:v>4</x:v>
      </x:c>
      <x:c r="M27" s="33" t="str">
        <x:f>IF(E27="","CHỜ NHẬP","ĐÃ CÓ DỮ LIỆU")</x:f>
        <x:v>ĐÃ CÓ DỮ LIỆU</x:v>
      </x:c>
      <x:c r="N27" s="33" t="str">
        <x:f>IF(AND(B27="",E27=""),"",IF(A27="","THIẾU ID",IF(COUNTIF($A$8:$A$55,A27)&gt;1,"TRÙNG ID",IF(COUNTIF(HANG_MUC!$A$6:$A$50,B27)=0,"SAI HẠNG MỤC","OK"))))</x:f>
        <x:v>OK</x:v>
      </x:c>
    </x:row>
    <x:row r="28">
      <x:c r="A28" s="33" t="str">
        <x:f>IF(OR(B28="",D28=""),"",B28&amp;"-"&amp;IF(OR(C28="",C28="-"),"X",UPPER(C28))&amp;"-"&amp;TEXT(D28,"00"))</x:f>
        <x:v>TEN-DOI-NAM45-B-03</x:v>
      </x:c>
      <x:c r="B28" s="26" t="str">
        <x:v>TEN-DOI-NAM45</x:v>
      </x:c>
      <x:c r="C28" s="26" t="str">
        <x:v>B</x:v>
      </x:c>
      <x:c r="D28" s="35" t="n">
        <x:v>3</x:v>
      </x:c>
      <x:c r="E28" s="28" t="str">
        <x:v>Trần Vinh Phương</x:v>
      </x:c>
      <x:c r="F28" s="28" t="str">
        <x:v>Đào Viết Sơn</x:v>
      </x:c>
      <x:c r="G28" s="28" t="str"/>
      <x:c r="H28" s="28" t="str"/>
      <x:c r="I28" s="28" t="str"/>
      <x:c r="J28" s="28" t="str">
        <x:v>PTSC M&amp;C</x:v>
      </x:c>
      <x:c r="K28" s="28" t="str"/>
      <x:c r="L28" s="33" t="n">
        <x:v>4</x:v>
      </x:c>
      <x:c r="M28" s="33" t="str">
        <x:f>IF(E28="","CHỜ NHẬP","ĐÃ CÓ DỮ LIỆU")</x:f>
        <x:v>ĐÃ CÓ DỮ LIỆU</x:v>
      </x:c>
      <x:c r="N28" s="33" t="str">
        <x:f>IF(AND(B28="",E28=""),"",IF(A28="","THIẾU ID",IF(COUNTIF($A$8:$A$55,A28)&gt;1,"TRÙNG ID",IF(COUNTIF(HANG_MUC!$A$6:$A$50,B28)=0,"SAI HẠNG MỤC","OK"))))</x:f>
        <x:v>OK</x:v>
      </x:c>
    </x:row>
    <x:row r="29">
      <x:c r="A29" s="33" t="str">
        <x:f>IF(OR(B29="",D29=""),"",B29&amp;"-"&amp;IF(OR(C29="",C29="-"),"X",UPPER(C29))&amp;"-"&amp;TEXT(D29,"00"))</x:f>
        <x:v>TEN-DOI-NAM45-C-01</x:v>
      </x:c>
      <x:c r="B29" s="26" t="str">
        <x:v>TEN-DOI-NAM45</x:v>
      </x:c>
      <x:c r="C29" s="26" t="str">
        <x:v>C</x:v>
      </x:c>
      <x:c r="D29" s="35" t="n">
        <x:v>1</x:v>
      </x:c>
      <x:c r="E29" s="28" t="str">
        <x:v>Nguyễn Tiến Huy</x:v>
      </x:c>
      <x:c r="F29" s="28" t="str">
        <x:v>Lê Cường Quyền</x:v>
      </x:c>
      <x:c r="G29" s="28" t="str"/>
      <x:c r="H29" s="28" t="str"/>
      <x:c r="I29" s="28" t="str"/>
      <x:c r="J29" s="28" t="str">
        <x:v>PTSC Supply Base</x:v>
      </x:c>
      <x:c r="K29" s="28" t="str"/>
      <x:c r="L29" s="33" t="n">
        <x:v>4</x:v>
      </x:c>
      <x:c r="M29" s="33" t="str">
        <x:f>IF(E29="","CHỜ NHẬP","ĐÃ CÓ DỮ LIỆU")</x:f>
        <x:v>ĐÃ CÓ DỮ LIỆU</x:v>
      </x:c>
      <x:c r="N29" s="33" t="str">
        <x:f>IF(AND(B29="",E29=""),"",IF(A29="","THIẾU ID",IF(COUNTIF($A$8:$A$55,A29)&gt;1,"TRÙNG ID",IF(COUNTIF(HANG_MUC!$A$6:$A$50,B29)=0,"SAI HẠNG MỤC","OK"))))</x:f>
        <x:v>OK</x:v>
      </x:c>
    </x:row>
    <x:row r="30">
      <x:c r="A30" s="33" t="str">
        <x:f>IF(OR(B30="",D30=""),"",B30&amp;"-"&amp;IF(OR(C30="",C30="-"),"X",UPPER(C30))&amp;"-"&amp;TEXT(D30,"00"))</x:f>
        <x:v>TEN-DOI-NAM45-C-02</x:v>
      </x:c>
      <x:c r="B30" s="26" t="str">
        <x:v>TEN-DOI-NAM45</x:v>
      </x:c>
      <x:c r="C30" s="26" t="str">
        <x:v>C</x:v>
      </x:c>
      <x:c r="D30" s="35" t="n">
        <x:v>2</x:v>
      </x:c>
      <x:c r="E30" s="28" t="str">
        <x:v>Đàm Quốc Hoàng</x:v>
      </x:c>
      <x:c r="F30" s="28" t="str">
        <x:v>Thái Quang Vũ</x:v>
      </x:c>
      <x:c r="G30" s="28" t="str"/>
      <x:c r="H30" s="28" t="str"/>
      <x:c r="I30" s="28" t="str"/>
      <x:c r="J30" s="28" t="str">
        <x:v>PPS</x:v>
      </x:c>
      <x:c r="K30" s="28" t="str"/>
      <x:c r="L30" s="33" t="n">
        <x:v>4</x:v>
      </x:c>
      <x:c r="M30" s="33" t="str">
        <x:f>IF(E30="","CHỜ NHẬP","ĐÃ CÓ DỮ LIỆU")</x:f>
        <x:v>ĐÃ CÓ DỮ LIỆU</x:v>
      </x:c>
      <x:c r="N30" s="33" t="str">
        <x:f>IF(AND(B30="",E30=""),"",IF(A30="","THIẾU ID",IF(COUNTIF($A$8:$A$55,A30)&gt;1,"TRÙNG ID",IF(COUNTIF(HANG_MUC!$A$6:$A$50,B30)=0,"SAI HẠNG MỤC","OK"))))</x:f>
        <x:v>OK</x:v>
      </x:c>
    </x:row>
    <x:row r="31">
      <x:c r="A31" s="33" t="str">
        <x:f>IF(OR(B31="",D31=""),"",B31&amp;"-"&amp;IF(OR(C31="",C31="-"),"X",UPPER(C31))&amp;"-"&amp;TEXT(D31,"00"))</x:f>
        <x:v>TEN-DOI-NAM45-C-03</x:v>
      </x:c>
      <x:c r="B31" s="26" t="str">
        <x:v>TEN-DOI-NAM45</x:v>
      </x:c>
      <x:c r="C31" s="26" t="str">
        <x:v>C</x:v>
      </x:c>
      <x:c r="D31" s="35" t="n">
        <x:v>3</x:v>
      </x:c>
      <x:c r="E31" s="28" t="str">
        <x:v>Trần Tuấn Khanh</x:v>
      </x:c>
      <x:c r="F31" s="28" t="str">
        <x:v>Phạm Hồng Hải</x:v>
      </x:c>
      <x:c r="G31" s="28" t="str"/>
      <x:c r="H31" s="28" t="str"/>
      <x:c r="I31" s="28" t="str"/>
      <x:c r="J31" s="28" t="str">
        <x:v>PTSC HQ</x:v>
      </x:c>
      <x:c r="K31" s="28" t="str"/>
      <x:c r="L31" s="33" t="n">
        <x:v>4</x:v>
      </x:c>
      <x:c r="M31" s="33" t="str">
        <x:f>IF(E31="","CHỜ NHẬP","ĐÃ CÓ DỮ LIỆU")</x:f>
        <x:v>ĐÃ CÓ DỮ LIỆU</x:v>
      </x:c>
      <x:c r="N31" s="33" t="str">
        <x:f>IF(AND(B31="",E31=""),"",IF(A31="","THIẾU ID",IF(COUNTIF($A$8:$A$55,A31)&gt;1,"TRÙNG ID",IF(COUNTIF(HANG_MUC!$A$6:$A$50,B31)=0,"SAI HẠNG MỤC","OK"))))</x:f>
        <x:v>OK</x:v>
      </x:c>
    </x:row>
    <x:row r="32">
      <x:c r="A32" s="33" t="str">
        <x:f>IF(OR(B32="",D32=""),"",B32&amp;"-"&amp;IF(OR(C32="",C32="-"),"X",UPPER(C32))&amp;"-"&amp;TEXT(D32,"00"))</x:f>
        <x:v>TEN-DOI-NAM46-A-01</x:v>
      </x:c>
      <x:c r="B32" s="26" t="str">
        <x:v>TEN-DOI-NAM46</x:v>
      </x:c>
      <x:c r="C32" s="26" t="str">
        <x:v>A</x:v>
      </x:c>
      <x:c r="D32" s="35" t="n">
        <x:v>1</x:v>
      </x:c>
      <x:c r="E32" s="28" t="str">
        <x:v>Nguyễn Ngọc Sơn</x:v>
      </x:c>
      <x:c r="F32" s="28" t="str">
        <x:v>Đoàn Khắc Kính</x:v>
      </x:c>
      <x:c r="G32" s="28" t="str"/>
      <x:c r="H32" s="28" t="str"/>
      <x:c r="I32" s="28" t="str"/>
      <x:c r="J32" s="28" t="str">
        <x:v>PTSC Supply Base</x:v>
      </x:c>
      <x:c r="K32" s="28" t="str"/>
      <x:c r="L32" s="33" t="n">
        <x:v>6</x:v>
      </x:c>
      <x:c r="M32" s="33" t="str">
        <x:f>IF(E32="","CHỜ NHẬP","ĐÃ CÓ DỮ LIỆU")</x:f>
        <x:v>ĐÃ CÓ DỮ LIỆU</x:v>
      </x:c>
      <x:c r="N32" s="33" t="str">
        <x:f>IF(AND(B32="",E32=""),"",IF(A32="","THIẾU ID",IF(COUNTIF($A$8:$A$55,A32)&gt;1,"TRÙNG ID",IF(COUNTIF(HANG_MUC!$A$6:$A$50,B32)=0,"SAI HẠNG MỤC","OK"))))</x:f>
        <x:v>OK</x:v>
      </x:c>
    </x:row>
    <x:row r="33">
      <x:c r="A33" s="33" t="str">
        <x:f>IF(OR(B33="",D33=""),"",B33&amp;"-"&amp;IF(OR(C33="",C33="-"),"X",UPPER(C33))&amp;"-"&amp;TEXT(D33,"00"))</x:f>
        <x:v>TEN-DOI-NAM46-A-02</x:v>
      </x:c>
      <x:c r="B33" s="26" t="str">
        <x:v>TEN-DOI-NAM46</x:v>
      </x:c>
      <x:c r="C33" s="26" t="str">
        <x:v>A</x:v>
      </x:c>
      <x:c r="D33" s="35" t="n">
        <x:v>2</x:v>
      </x:c>
      <x:c r="E33" s="28" t="str">
        <x:v>Nguyễn Bá Hùng</x:v>
      </x:c>
      <x:c r="F33" s="28" t="str">
        <x:v>Nguyễn Thành Trung</x:v>
      </x:c>
      <x:c r="G33" s="28" t="str"/>
      <x:c r="H33" s="28" t="str"/>
      <x:c r="I33" s="28" t="str"/>
      <x:c r="J33" s="28" t="str">
        <x:v>PTSC M&amp;C</x:v>
      </x:c>
      <x:c r="K33" s="28" t="str"/>
      <x:c r="L33" s="33" t="n">
        <x:v>6</x:v>
      </x:c>
      <x:c r="M33" s="33" t="str">
        <x:f>IF(E33="","CHỜ NHẬP","ĐÃ CÓ DỮ LIỆU")</x:f>
        <x:v>ĐÃ CÓ DỮ LIỆU</x:v>
      </x:c>
      <x:c r="N33" s="33" t="str">
        <x:f>IF(AND(B33="",E33=""),"",IF(A33="","THIẾU ID",IF(COUNTIF($A$8:$A$55,A33)&gt;1,"TRÙNG ID",IF(COUNTIF(HANG_MUC!$A$6:$A$50,B33)=0,"SAI HẠNG MỤC","OK"))))</x:f>
        <x:v>OK</x:v>
      </x:c>
    </x:row>
    <x:row r="34">
      <x:c r="A34" s="33" t="str">
        <x:f>IF(OR(B34="",D34=""),"",B34&amp;"-"&amp;IF(OR(C34="",C34="-"),"X",UPPER(C34))&amp;"-"&amp;TEXT(D34,"00"))</x:f>
        <x:v>TEN-DOI-NAM46-A-03</x:v>
      </x:c>
      <x:c r="B34" s="26" t="str">
        <x:v>TEN-DOI-NAM46</x:v>
      </x:c>
      <x:c r="C34" s="26" t="str">
        <x:v>A</x:v>
      </x:c>
      <x:c r="D34" s="35" t="n">
        <x:v>3</x:v>
      </x:c>
      <x:c r="E34" s="28" t="str">
        <x:v>Dương Cao Cường</x:v>
      </x:c>
      <x:c r="F34" s="28" t="str">
        <x:v>Nguyễn Văn Tiến</x:v>
      </x:c>
      <x:c r="G34" s="28" t="str"/>
      <x:c r="H34" s="28" t="str"/>
      <x:c r="I34" s="28" t="str"/>
      <x:c r="J34" s="28" t="str">
        <x:v>POS</x:v>
      </x:c>
      <x:c r="K34" s="28" t="str"/>
      <x:c r="L34" s="33" t="n">
        <x:v>6</x:v>
      </x:c>
      <x:c r="M34" s="33" t="str">
        <x:f>IF(E34="","CHỜ NHẬP","ĐÃ CÓ DỮ LIỆU")</x:f>
        <x:v>ĐÃ CÓ DỮ LIỆU</x:v>
      </x:c>
      <x:c r="N34" s="33" t="str">
        <x:f>IF(AND(B34="",E34=""),"",IF(A34="","THIẾU ID",IF(COUNTIF($A$8:$A$55,A34)&gt;1,"TRÙNG ID",IF(COUNTIF(HANG_MUC!$A$6:$A$50,B34)=0,"SAI HẠNG MỤC","OK"))))</x:f>
        <x:v>OK</x:v>
      </x:c>
    </x:row>
    <x:row r="35">
      <x:c r="A35" s="33" t="str">
        <x:f>IF(OR(B35="",D35=""),"",B35&amp;"-"&amp;IF(OR(C35="",C35="-"),"X",UPPER(C35))&amp;"-"&amp;TEXT(D35,"00"))</x:f>
        <x:v>TEN-DOI-NAM46-A-04</x:v>
      </x:c>
      <x:c r="B35" s="26" t="str">
        <x:v>TEN-DOI-NAM46</x:v>
      </x:c>
      <x:c r="C35" s="26" t="str">
        <x:v>A</x:v>
      </x:c>
      <x:c r="D35" s="35" t="n">
        <x:v>4</x:v>
      </x:c>
      <x:c r="E35" s="28" t="str">
        <x:v>Nguyễn Văn Mạnh</x:v>
      </x:c>
      <x:c r="F35" s="28" t="str">
        <x:v>Lê Văn Khang</x:v>
      </x:c>
      <x:c r="G35" s="28" t="str"/>
      <x:c r="H35" s="28" t="str"/>
      <x:c r="I35" s="28" t="str"/>
      <x:c r="J35" s="28" t="str">
        <x:v>PTSC Thanh Hóa</x:v>
      </x:c>
      <x:c r="K35" s="28" t="str"/>
      <x:c r="L35" s="33" t="n">
        <x:v>6</x:v>
      </x:c>
      <x:c r="M35" s="33" t="str">
        <x:f>IF(E35="","CHỜ NHẬP","ĐÃ CÓ DỮ LIỆU")</x:f>
        <x:v>ĐÃ CÓ DỮ LIỆU</x:v>
      </x:c>
      <x:c r="N35" s="33" t="str">
        <x:f>IF(AND(B35="",E35=""),"",IF(A35="","THIẾU ID",IF(COUNTIF($A$8:$A$55,A35)&gt;1,"TRÙNG ID",IF(COUNTIF(HANG_MUC!$A$6:$A$50,B35)=0,"SAI HẠNG MỤC","OK"))))</x:f>
        <x:v>OK</x:v>
      </x:c>
    </x:row>
    <x:row r="36">
      <x:c r="A36" s="33" t="str">
        <x:f>IF(OR(B36="",D36=""),"",B36&amp;"-"&amp;IF(OR(C36="",C36="-"),"X",UPPER(C36))&amp;"-"&amp;TEXT(D36,"00"))</x:f>
      </x:c>
      <x:c r="B36" s="26"/>
      <x:c r="C36" s="26"/>
      <x:c r="D36" s="35"/>
      <x:c r="E36" s="28"/>
      <x:c r="F36" s="28"/>
      <x:c r="G36" s="28"/>
      <x:c r="H36" s="28"/>
      <x:c r="I36" s="28"/>
      <x:c r="J36" s="28"/>
      <x:c r="K36" s="28"/>
      <x:c r="L36" s="33"/>
      <x:c r="M36" s="33" t="str">
        <x:f>IF(E36="","CHỜ NHẬP","ĐÃ CÓ DỮ LIỆU")</x:f>
        <x:v>CHỜ NHẬP</x:v>
      </x:c>
      <x:c r="N36" s="33" t="str">
        <x:f>IF(AND(B36="",E36=""),"",IF(A36="","THIẾU ID",IF(COUNTIF($A$8:$A$55,A36)&gt;1,"TRÙNG ID",IF(COUNTIF(HANG_MUC!$A$6:$A$50,B36)=0,"SAI HẠNG MỤC","OK"))))</x:f>
      </x:c>
    </x:row>
    <x:row r="37">
      <x:c r="A37" s="33" t="str">
        <x:f>IF(OR(B37="",D37=""),"",B37&amp;"-"&amp;IF(OR(C37="",C37="-"),"X",UPPER(C37))&amp;"-"&amp;TEXT(D37,"00"))</x:f>
      </x:c>
      <x:c r="B37" s="26"/>
      <x:c r="C37" s="26"/>
      <x:c r="D37" s="35"/>
      <x:c r="E37" s="28"/>
      <x:c r="F37" s="28"/>
      <x:c r="G37" s="28"/>
      <x:c r="H37" s="28"/>
      <x:c r="I37" s="28"/>
      <x:c r="J37" s="28"/>
      <x:c r="K37" s="28"/>
      <x:c r="L37" s="33"/>
      <x:c r="M37" s="33" t="str">
        <x:f>IF(E37="","CHỜ NHẬP","ĐÃ CÓ DỮ LIỆU")</x:f>
        <x:v>CHỜ NHẬP</x:v>
      </x:c>
      <x:c r="N37" s="33" t="str">
        <x:f>IF(AND(B37="",E37=""),"",IF(A37="","THIẾU ID",IF(COUNTIF($A$8:$A$55,A37)&gt;1,"TRÙNG ID",IF(COUNTIF(HANG_MUC!$A$6:$A$50,B37)=0,"SAI HẠNG MỤC","OK"))))</x:f>
      </x:c>
    </x:row>
    <x:row r="38">
      <x:c r="A38" s="33" t="str">
        <x:f>IF(OR(B38="",D38=""),"",B38&amp;"-"&amp;IF(OR(C38="",C38="-"),"X",UPPER(C38))&amp;"-"&amp;TEXT(D38,"00"))</x:f>
      </x:c>
      <x:c r="B38" s="26"/>
      <x:c r="C38" s="26"/>
      <x:c r="D38" s="35"/>
      <x:c r="E38" s="28"/>
      <x:c r="F38" s="28"/>
      <x:c r="G38" s="28"/>
      <x:c r="H38" s="28"/>
      <x:c r="I38" s="28"/>
      <x:c r="J38" s="28"/>
      <x:c r="K38" s="28"/>
      <x:c r="L38" s="33"/>
      <x:c r="M38" s="33" t="str">
        <x:f>IF(E38="","CHỜ NHẬP","ĐÃ CÓ DỮ LIỆU")</x:f>
        <x:v>CHỜ NHẬP</x:v>
      </x:c>
      <x:c r="N38" s="33" t="str">
        <x:f>IF(AND(B38="",E38=""),"",IF(A38="","THIẾU ID",IF(COUNTIF($A$8:$A$55,A38)&gt;1,"TRÙNG ID",IF(COUNTIF(HANG_MUC!$A$6:$A$50,B38)=0,"SAI HẠNG MỤC","OK"))))</x:f>
      </x:c>
    </x:row>
    <x:row r="39">
      <x:c r="A39" s="33" t="str">
        <x:f>IF(OR(B39="",D39=""),"",B39&amp;"-"&amp;IF(OR(C39="",C39="-"),"X",UPPER(C39))&amp;"-"&amp;TEXT(D39,"00"))</x:f>
      </x:c>
      <x:c r="B39" s="26"/>
      <x:c r="C39" s="26"/>
      <x:c r="D39" s="35"/>
      <x:c r="E39" s="28"/>
      <x:c r="F39" s="28"/>
      <x:c r="G39" s="28"/>
      <x:c r="H39" s="28"/>
      <x:c r="I39" s="28"/>
      <x:c r="J39" s="28"/>
      <x:c r="K39" s="28"/>
      <x:c r="L39" s="33"/>
      <x:c r="M39" s="33" t="str">
        <x:f>IF(E39="","CHỜ NHẬP","ĐÃ CÓ DỮ LIỆU")</x:f>
        <x:v>CHỜ NHẬP</x:v>
      </x:c>
      <x:c r="N39" s="33" t="str">
        <x:f>IF(AND(B39="",E39=""),"",IF(A39="","THIẾU ID",IF(COUNTIF($A$8:$A$55,A39)&gt;1,"TRÙNG ID",IF(COUNTIF(HANG_MUC!$A$6:$A$50,B39)=0,"SAI HẠNG MỤC","OK"))))</x:f>
      </x:c>
    </x:row>
    <x:row r="40">
      <x:c r="A40" s="33" t="str">
        <x:f>IF(OR(B40="",D40=""),"",B40&amp;"-"&amp;IF(OR(C40="",C40="-"),"X",UPPER(C40))&amp;"-"&amp;TEXT(D40,"00"))</x:f>
      </x:c>
      <x:c r="B40" s="26"/>
      <x:c r="C40" s="26"/>
      <x:c r="D40" s="35"/>
      <x:c r="E40" s="28"/>
      <x:c r="F40" s="28"/>
      <x:c r="G40" s="28"/>
      <x:c r="H40" s="28"/>
      <x:c r="I40" s="28"/>
      <x:c r="J40" s="28"/>
      <x:c r="K40" s="28"/>
      <x:c r="L40" s="33"/>
      <x:c r="M40" s="33" t="str">
        <x:f>IF(E40="","CHỜ NHẬP","ĐÃ CÓ DỮ LIỆU")</x:f>
        <x:v>CHỜ NHẬP</x:v>
      </x:c>
      <x:c r="N40" s="33" t="str">
        <x:f>IF(AND(B40="",E40=""),"",IF(A40="","THIẾU ID",IF(COUNTIF($A$8:$A$55,A40)&gt;1,"TRÙNG ID",IF(COUNTIF(HANG_MUC!$A$6:$A$50,B40)=0,"SAI HẠNG MỤC","OK"))))</x:f>
      </x:c>
    </x:row>
    <x:row r="41">
      <x:c r="A41" s="33" t="str">
        <x:f>IF(OR(B41="",D41=""),"",B41&amp;"-"&amp;IF(OR(C41="",C41="-"),"X",UPPER(C41))&amp;"-"&amp;TEXT(D41,"00"))</x:f>
      </x:c>
      <x:c r="B41" s="26"/>
      <x:c r="C41" s="26"/>
      <x:c r="D41" s="35"/>
      <x:c r="E41" s="28"/>
      <x:c r="F41" s="28"/>
      <x:c r="G41" s="28"/>
      <x:c r="H41" s="28"/>
      <x:c r="I41" s="28"/>
      <x:c r="J41" s="28"/>
      <x:c r="K41" s="28"/>
      <x:c r="L41" s="33"/>
      <x:c r="M41" s="33" t="str">
        <x:f>IF(E41="","CHỜ NHẬP","ĐÃ CÓ DỮ LIỆU")</x:f>
        <x:v>CHỜ NHẬP</x:v>
      </x:c>
      <x:c r="N41" s="33" t="str">
        <x:f>IF(AND(B41="",E41=""),"",IF(A41="","THIẾU ID",IF(COUNTIF($A$8:$A$55,A41)&gt;1,"TRÙNG ID",IF(COUNTIF(HANG_MUC!$A$6:$A$50,B41)=0,"SAI HẠNG MỤC","OK"))))</x:f>
      </x:c>
    </x:row>
    <x:row r="42">
      <x:c r="A42" s="33" t="str">
        <x:f>IF(OR(B42="",D42=""),"",B42&amp;"-"&amp;IF(OR(C42="",C42="-"),"X",UPPER(C42))&amp;"-"&amp;TEXT(D42,"00"))</x:f>
      </x:c>
      <x:c r="B42" s="26"/>
      <x:c r="C42" s="26"/>
      <x:c r="D42" s="35"/>
      <x:c r="E42" s="28"/>
      <x:c r="F42" s="28"/>
      <x:c r="G42" s="28"/>
      <x:c r="H42" s="28"/>
      <x:c r="I42" s="28"/>
      <x:c r="J42" s="28"/>
      <x:c r="K42" s="28"/>
      <x:c r="L42" s="33"/>
      <x:c r="M42" s="33" t="str">
        <x:f>IF(E42="","CHỜ NHẬP","ĐÃ CÓ DỮ LIỆU")</x:f>
        <x:v>CHỜ NHẬP</x:v>
      </x:c>
      <x:c r="N42" s="33" t="str">
        <x:f>IF(AND(B42="",E42=""),"",IF(A42="","THIẾU ID",IF(COUNTIF($A$8:$A$55,A42)&gt;1,"TRÙNG ID",IF(COUNTIF(HANG_MUC!$A$6:$A$50,B42)=0,"SAI HẠNG MỤC","OK"))))</x:f>
      </x:c>
    </x:row>
    <x:row r="43">
      <x:c r="A43" s="33" t="str">
        <x:f>IF(OR(B43="",D43=""),"",B43&amp;"-"&amp;IF(OR(C43="",C43="-"),"X",UPPER(C43))&amp;"-"&amp;TEXT(D43,"00"))</x:f>
      </x:c>
      <x:c r="B43" s="26"/>
      <x:c r="C43" s="26"/>
      <x:c r="D43" s="35"/>
      <x:c r="E43" s="28"/>
      <x:c r="F43" s="28"/>
      <x:c r="G43" s="28"/>
      <x:c r="H43" s="28"/>
      <x:c r="I43" s="28"/>
      <x:c r="J43" s="28"/>
      <x:c r="K43" s="28"/>
      <x:c r="L43" s="33"/>
      <x:c r="M43" s="33" t="str">
        <x:f>IF(E43="","CHỜ NHẬP","ĐÃ CÓ DỮ LIỆU")</x:f>
        <x:v>CHỜ NHẬP</x:v>
      </x:c>
      <x:c r="N43" s="33" t="str">
        <x:f>IF(AND(B43="",E43=""),"",IF(A43="","THIẾU ID",IF(COUNTIF($A$8:$A$55,A43)&gt;1,"TRÙNG ID",IF(COUNTIF(HANG_MUC!$A$6:$A$50,B43)=0,"SAI HẠNG MỤC","OK"))))</x:f>
      </x:c>
    </x:row>
    <x:row r="44">
      <x:c r="A44" s="33" t="str">
        <x:f>IF(OR(B44="",D44=""),"",B44&amp;"-"&amp;IF(OR(C44="",C44="-"),"X",UPPER(C44))&amp;"-"&amp;TEXT(D44,"00"))</x:f>
      </x:c>
      <x:c r="B44" s="26"/>
      <x:c r="C44" s="26"/>
      <x:c r="D44" s="35"/>
      <x:c r="E44" s="28"/>
      <x:c r="F44" s="28"/>
      <x:c r="G44" s="28"/>
      <x:c r="H44" s="28"/>
      <x:c r="I44" s="28"/>
      <x:c r="J44" s="28"/>
      <x:c r="K44" s="28"/>
      <x:c r="L44" s="33"/>
      <x:c r="M44" s="33" t="str">
        <x:f>IF(E44="","CHỜ NHẬP","ĐÃ CÓ DỮ LIỆU")</x:f>
        <x:v>CHỜ NHẬP</x:v>
      </x:c>
      <x:c r="N44" s="33" t="str">
        <x:f>IF(AND(B44="",E44=""),"",IF(A44="","THIẾU ID",IF(COUNTIF($A$8:$A$55,A44)&gt;1,"TRÙNG ID",IF(COUNTIF(HANG_MUC!$A$6:$A$50,B44)=0,"SAI HẠNG MỤC","OK"))))</x:f>
      </x:c>
    </x:row>
    <x:row r="45">
      <x:c r="A45" s="33" t="str">
        <x:f>IF(OR(B45="",D45=""),"",B45&amp;"-"&amp;IF(OR(C45="",C45="-"),"X",UPPER(C45))&amp;"-"&amp;TEXT(D45,"00"))</x:f>
      </x:c>
      <x:c r="B45" s="26"/>
      <x:c r="C45" s="26"/>
      <x:c r="D45" s="35"/>
      <x:c r="E45" s="28"/>
      <x:c r="F45" s="28"/>
      <x:c r="G45" s="28"/>
      <x:c r="H45" s="28"/>
      <x:c r="I45" s="28"/>
      <x:c r="J45" s="28"/>
      <x:c r="K45" s="28"/>
      <x:c r="L45" s="33"/>
      <x:c r="M45" s="33" t="str">
        <x:f>IF(E45="","CHỜ NHẬP","ĐÃ CÓ DỮ LIỆU")</x:f>
        <x:v>CHỜ NHẬP</x:v>
      </x:c>
      <x:c r="N45" s="33" t="str">
        <x:f>IF(AND(B45="",E45=""),"",IF(A45="","THIẾU ID",IF(COUNTIF($A$8:$A$55,A45)&gt;1,"TRÙNG ID",IF(COUNTIF(HANG_MUC!$A$6:$A$50,B45)=0,"SAI HẠNG MỤC","OK"))))</x:f>
      </x:c>
    </x:row>
    <x:row r="46">
      <x:c r="A46" s="33" t="str">
        <x:f>IF(OR(B46="",D46=""),"",B46&amp;"-"&amp;IF(OR(C46="",C46="-"),"X",UPPER(C46))&amp;"-"&amp;TEXT(D46,"00"))</x:f>
      </x:c>
      <x:c r="B46" s="26"/>
      <x:c r="C46" s="26"/>
      <x:c r="D46" s="35"/>
      <x:c r="E46" s="28"/>
      <x:c r="F46" s="28"/>
      <x:c r="G46" s="28"/>
      <x:c r="H46" s="28"/>
      <x:c r="I46" s="28"/>
      <x:c r="J46" s="28"/>
      <x:c r="K46" s="28"/>
      <x:c r="L46" s="33"/>
      <x:c r="M46" s="33" t="str">
        <x:f>IF(E46="","CHỜ NHẬP","ĐÃ CÓ DỮ LIỆU")</x:f>
        <x:v>CHỜ NHẬP</x:v>
      </x:c>
      <x:c r="N46" s="33" t="str">
        <x:f>IF(AND(B46="",E46=""),"",IF(A46="","THIẾU ID",IF(COUNTIF($A$8:$A$55,A46)&gt;1,"TRÙNG ID",IF(COUNTIF(HANG_MUC!$A$6:$A$50,B46)=0,"SAI HẠNG MỤC","OK"))))</x:f>
      </x:c>
    </x:row>
    <x:row r="47">
      <x:c r="A47" s="33" t="str">
        <x:f>IF(OR(B47="",D47=""),"",B47&amp;"-"&amp;IF(OR(C47="",C47="-"),"X",UPPER(C47))&amp;"-"&amp;TEXT(D47,"00"))</x:f>
      </x:c>
      <x:c r="B47" s="26"/>
      <x:c r="C47" s="26"/>
      <x:c r="D47" s="35"/>
      <x:c r="E47" s="28"/>
      <x:c r="F47" s="28"/>
      <x:c r="G47" s="28"/>
      <x:c r="H47" s="28"/>
      <x:c r="I47" s="28"/>
      <x:c r="J47" s="28"/>
      <x:c r="K47" s="28"/>
      <x:c r="L47" s="33"/>
      <x:c r="M47" s="33" t="str">
        <x:f>IF(E47="","CHỜ NHẬP","ĐÃ CÓ DỮ LIỆU")</x:f>
        <x:v>CHỜ NHẬP</x:v>
      </x:c>
      <x:c r="N47" s="33" t="str">
        <x:f>IF(AND(B47="",E47=""),"",IF(A47="","THIẾU ID",IF(COUNTIF($A$8:$A$55,A47)&gt;1,"TRÙNG ID",IF(COUNTIF(HANG_MUC!$A$6:$A$50,B47)=0,"SAI HẠNG MỤC","OK"))))</x:f>
      </x:c>
    </x:row>
    <x:row r="48">
      <x:c r="A48" s="33" t="str">
        <x:f>IF(OR(B48="",D48=""),"",B48&amp;"-"&amp;IF(OR(C48="",C48="-"),"X",UPPER(C48))&amp;"-"&amp;TEXT(D48,"00"))</x:f>
      </x:c>
      <x:c r="B48" s="26"/>
      <x:c r="C48" s="26"/>
      <x:c r="D48" s="35"/>
      <x:c r="E48" s="28"/>
      <x:c r="F48" s="28"/>
      <x:c r="G48" s="28"/>
      <x:c r="H48" s="28"/>
      <x:c r="I48" s="28"/>
      <x:c r="J48" s="28"/>
      <x:c r="K48" s="28"/>
      <x:c r="L48" s="33"/>
      <x:c r="M48" s="33" t="str">
        <x:f>IF(E48="","CHỜ NHẬP","ĐÃ CÓ DỮ LIỆU")</x:f>
        <x:v>CHỜ NHẬP</x:v>
      </x:c>
      <x:c r="N48" s="33" t="str">
        <x:f>IF(AND(B48="",E48=""),"",IF(A48="","THIẾU ID",IF(COUNTIF($A$8:$A$55,A48)&gt;1,"TRÙNG ID",IF(COUNTIF(HANG_MUC!$A$6:$A$50,B48)=0,"SAI HẠNG MỤC","OK"))))</x:f>
      </x:c>
    </x:row>
    <x:row r="49">
      <x:c r="A49" s="33" t="str">
        <x:f>IF(OR(B49="",D49=""),"",B49&amp;"-"&amp;IF(OR(C49="",C49="-"),"X",UPPER(C49))&amp;"-"&amp;TEXT(D49,"00"))</x:f>
      </x:c>
      <x:c r="B49" s="26"/>
      <x:c r="C49" s="26"/>
      <x:c r="D49" s="35"/>
      <x:c r="E49" s="28"/>
      <x:c r="F49" s="28"/>
      <x:c r="G49" s="28"/>
      <x:c r="H49" s="28"/>
      <x:c r="I49" s="28"/>
      <x:c r="J49" s="28"/>
      <x:c r="K49" s="28"/>
      <x:c r="L49" s="33"/>
      <x:c r="M49" s="33" t="str">
        <x:f>IF(E49="","CHỜ NHẬP","ĐÃ CÓ DỮ LIỆU")</x:f>
        <x:v>CHỜ NHẬP</x:v>
      </x:c>
      <x:c r="N49" s="33" t="str">
        <x:f>IF(AND(B49="",E49=""),"",IF(A49="","THIẾU ID",IF(COUNTIF($A$8:$A$55,A49)&gt;1,"TRÙNG ID",IF(COUNTIF(HANG_MUC!$A$6:$A$50,B49)=0,"SAI HẠNG MỤC","OK"))))</x:f>
      </x:c>
    </x:row>
    <x:row r="50">
      <x:c r="A50" s="33" t="str">
        <x:f>IF(OR(B50="",D50=""),"",B50&amp;"-"&amp;IF(OR(C50="",C50="-"),"X",UPPER(C50))&amp;"-"&amp;TEXT(D50,"00"))</x:f>
      </x:c>
      <x:c r="B50" s="26"/>
      <x:c r="C50" s="26"/>
      <x:c r="D50" s="35"/>
      <x:c r="E50" s="28"/>
      <x:c r="F50" s="28"/>
      <x:c r="G50" s="28"/>
      <x:c r="H50" s="28"/>
      <x:c r="I50" s="28"/>
      <x:c r="J50" s="28"/>
      <x:c r="K50" s="28"/>
      <x:c r="L50" s="33"/>
      <x:c r="M50" s="33" t="str">
        <x:f>IF(E50="","CHỜ NHẬP","ĐÃ CÓ DỮ LIỆU")</x:f>
        <x:v>CHỜ NHẬP</x:v>
      </x:c>
      <x:c r="N50" s="33" t="str">
        <x:f>IF(AND(B50="",E50=""),"",IF(A50="","THIẾU ID",IF(COUNTIF($A$8:$A$55,A50)&gt;1,"TRÙNG ID",IF(COUNTIF(HANG_MUC!$A$6:$A$50,B50)=0,"SAI HẠNG MỤC","OK"))))</x:f>
      </x:c>
    </x:row>
    <x:row r="51">
      <x:c r="A51" s="33" t="str">
        <x:f>IF(OR(B51="",D51=""),"",B51&amp;"-"&amp;IF(OR(C51="",C51="-"),"X",UPPER(C51))&amp;"-"&amp;TEXT(D51,"00"))</x:f>
      </x:c>
      <x:c r="B51" s="26"/>
      <x:c r="C51" s="26"/>
      <x:c r="D51" s="35"/>
      <x:c r="E51" s="28"/>
      <x:c r="F51" s="28"/>
      <x:c r="G51" s="28"/>
      <x:c r="H51" s="28"/>
      <x:c r="I51" s="28"/>
      <x:c r="J51" s="28"/>
      <x:c r="K51" s="28"/>
      <x:c r="L51" s="33"/>
      <x:c r="M51" s="33" t="str">
        <x:f>IF(E51="","CHỜ NHẬP","ĐÃ CÓ DỮ LIỆU")</x:f>
        <x:v>CHỜ NHẬP</x:v>
      </x:c>
      <x:c r="N51" s="33" t="str">
        <x:f>IF(AND(B51="",E51=""),"",IF(A51="","THIẾU ID",IF(COUNTIF($A$8:$A$55,A51)&gt;1,"TRÙNG ID",IF(COUNTIF(HANG_MUC!$A$6:$A$50,B51)=0,"SAI HẠNG MỤC","OK"))))</x:f>
      </x:c>
    </x:row>
    <x:row r="52">
      <x:c r="A52" s="33" t="str">
        <x:f>IF(OR(B52="",D52=""),"",B52&amp;"-"&amp;IF(OR(C52="",C52="-"),"X",UPPER(C52))&amp;"-"&amp;TEXT(D52,"00"))</x:f>
      </x:c>
      <x:c r="B52" s="26"/>
      <x:c r="C52" s="26"/>
      <x:c r="D52" s="35"/>
      <x:c r="E52" s="28"/>
      <x:c r="F52" s="28"/>
      <x:c r="G52" s="28"/>
      <x:c r="H52" s="28"/>
      <x:c r="I52" s="28"/>
      <x:c r="J52" s="28"/>
      <x:c r="K52" s="28"/>
      <x:c r="L52" s="33"/>
      <x:c r="M52" s="33" t="str">
        <x:f>IF(E52="","CHỜ NHẬP","ĐÃ CÓ DỮ LIỆU")</x:f>
        <x:v>CHỜ NHẬP</x:v>
      </x:c>
      <x:c r="N52" s="33" t="str">
        <x:f>IF(AND(B52="",E52=""),"",IF(A52="","THIẾU ID",IF(COUNTIF($A$8:$A$55,A52)&gt;1,"TRÙNG ID",IF(COUNTIF(HANG_MUC!$A$6:$A$50,B52)=0,"SAI HẠNG MỤC","OK"))))</x:f>
      </x:c>
    </x:row>
    <x:row r="53">
      <x:c r="A53" s="33" t="str">
        <x:f>IF(OR(B53="",D53=""),"",B53&amp;"-"&amp;IF(OR(C53="",C53="-"),"X",UPPER(C53))&amp;"-"&amp;TEXT(D53,"00"))</x:f>
      </x:c>
      <x:c r="B53" s="26"/>
      <x:c r="C53" s="26"/>
      <x:c r="D53" s="35"/>
      <x:c r="E53" s="28"/>
      <x:c r="F53" s="28"/>
      <x:c r="G53" s="28"/>
      <x:c r="H53" s="28"/>
      <x:c r="I53" s="28"/>
      <x:c r="J53" s="28"/>
      <x:c r="K53" s="28"/>
      <x:c r="L53" s="33"/>
      <x:c r="M53" s="33" t="str">
        <x:f>IF(E53="","CHỜ NHẬP","ĐÃ CÓ DỮ LIỆU")</x:f>
        <x:v>CHỜ NHẬP</x:v>
      </x:c>
      <x:c r="N53" s="33" t="str">
        <x:f>IF(AND(B53="",E53=""),"",IF(A53="","THIẾU ID",IF(COUNTIF($A$8:$A$55,A53)&gt;1,"TRÙNG ID",IF(COUNTIF(HANG_MUC!$A$6:$A$50,B53)=0,"SAI HẠNG MỤC","OK"))))</x:f>
      </x:c>
    </x:row>
    <x:row r="54">
      <x:c r="A54" s="33" t="str">
        <x:f>IF(OR(B54="",D54=""),"",B54&amp;"-"&amp;IF(OR(C54="",C54="-"),"X",UPPER(C54))&amp;"-"&amp;TEXT(D54,"00"))</x:f>
      </x:c>
      <x:c r="B54" s="26"/>
      <x:c r="C54" s="26"/>
      <x:c r="D54" s="35"/>
      <x:c r="E54" s="28"/>
      <x:c r="F54" s="28"/>
      <x:c r="G54" s="28"/>
      <x:c r="H54" s="28"/>
      <x:c r="I54" s="28"/>
      <x:c r="J54" s="28"/>
      <x:c r="K54" s="28"/>
      <x:c r="L54" s="33"/>
      <x:c r="M54" s="33" t="str">
        <x:f>IF(E54="","CHỜ NHẬP","ĐÃ CÓ DỮ LIỆU")</x:f>
        <x:v>CHỜ NHẬP</x:v>
      </x:c>
      <x:c r="N54" s="33" t="str">
        <x:f>IF(AND(B54="",E54=""),"",IF(A54="","THIẾU ID",IF(COUNTIF($A$8:$A$55,A54)&gt;1,"TRÙNG ID",IF(COUNTIF(HANG_MUC!$A$6:$A$50,B54)=0,"SAI HẠNG MỤC","OK"))))</x:f>
      </x:c>
    </x:row>
    <x:row r="55">
      <x:c r="A55" s="33" t="str">
        <x:f>IF(OR(B55="",D55=""),"",B55&amp;"-"&amp;IF(OR(C55="",C55="-"),"X",UPPER(C55))&amp;"-"&amp;TEXT(D55,"00"))</x:f>
      </x:c>
      <x:c r="B55" s="26"/>
      <x:c r="C55" s="26"/>
      <x:c r="D55" s="35"/>
      <x:c r="E55" s="28"/>
      <x:c r="F55" s="28"/>
      <x:c r="G55" s="28"/>
      <x:c r="H55" s="28"/>
      <x:c r="I55" s="28"/>
      <x:c r="J55" s="28"/>
      <x:c r="K55" s="28"/>
      <x:c r="L55" s="33"/>
      <x:c r="M55" s="33" t="str">
        <x:f>IF(E55="","CHỜ NHẬP","ĐÃ CÓ DỮ LIỆU")</x:f>
        <x:v>CHỜ NHẬP</x:v>
      </x:c>
      <x:c r="N55" s="33" t="str">
        <x:f>IF(AND(B55="",E55=""),"",IF(A55="","THIẾU ID",IF(COUNTIF($A$8:$A$55,A55)&gt;1,"TRÙNG ID",IF(COUNTIF(HANG_MUC!$A$6:$A$50,B55)=0,"SAI HẠNG MỤC","OK"))))</x:f>
      </x:c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</x:row>
  </x:sheetData>
  <x:conditionalFormatting sqref="N8:N55">
    <x:cfRule type="containsText" dxfId="51" priority="1" operator="containsText" text="TRÙNG"/>
    <x:cfRule type="containsText" dxfId="52" priority="2" operator="containsText" text="SAI"/>
    <x:cfRule type="containsText" dxfId="53" priority="3" operator="containsText" text="THIẾU"/>
    <x:cfRule type="containsText" dxfId="54" priority="4" operator="containsText" text="OK"/>
  </x:conditionalFormatting>
  <x:conditionalFormatting sqref="M8:M55">
    <x:cfRule type="containsText" dxfId="55" priority="5" operator="containsText" text="CHỜ"/>
  </x:conditionalFormatting>
  <x:dataValidations count="3">
    <x:dataValidation type="list" sqref="B8:B55">
      <x:formula1>HANG_MUC!$A$47:$A$50</x:formula1>
    </x:dataValidation>
    <x:dataValidation type="list" sqref="C8:C55">
      <x:formula1>"-,A,B,C,D,E,F,G,H"</x:formula1>
    </x:dataValidation>
    <x:dataValidation type="whole" operator="between" sqref="D8:D55">
      <x:formula1>1</x:formula1>
      <x:formula2>999</x:formula2>
    </x:dataValidation>
  </x:dataValidations>
  <x:pageMargins left="0.7" right="0.7" top="0.75" bottom="0.75" header="0.3" footer="0.3"/>
</x:worksheet>
</file>